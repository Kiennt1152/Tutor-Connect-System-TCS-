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Statistics" sheetId="1" state="visible" r:id="rId1"/>
    <sheet xmlns:r="http://schemas.openxmlformats.org/officeDocument/2006/relationships" name="Function" sheetId="2" state="visible" r:id="rId2"/>
    <sheet xmlns:r="http://schemas.openxmlformats.org/officeDocument/2006/relationships" name="Non-Function" sheetId="3" state="visible" r:id="rId3"/>
    <sheet xmlns:r="http://schemas.openxmlformats.org/officeDocument/2006/relationships" name="Consistency Notes" sheetId="4" state="visible" r:id="rId4"/>
  </sheets>
  <definedNames/>
  <calcPr calcId="191029" fullCalcOnLoad="1"/>
</workbook>
</file>

<file path=xl/styles.xml><?xml version="1.0" encoding="utf-8"?>
<styleSheet xmlns="http://schemas.openxmlformats.org/spreadsheetml/2006/main">
  <numFmts count="0"/>
  <fonts count="19">
    <font>
      <name val="Arial"/>
      <color rgb="FF000000"/>
      <sz val="10"/>
      <scheme val="minor"/>
    </font>
    <font>
      <name val="Tahoma"/>
      <b val="1"/>
      <color theme="1"/>
      <sz val="10"/>
    </font>
    <font>
      <name val="Tahoma"/>
      <b val="1"/>
      <i val="1"/>
      <color theme="1"/>
      <sz val="10"/>
    </font>
    <font>
      <name val="Tahoma"/>
      <color theme="1"/>
      <sz val="10"/>
    </font>
    <font>
      <name val="Times New Roman"/>
      <b val="1"/>
      <color rgb="FF006100"/>
      <sz val="12"/>
    </font>
    <font>
      <name val="Times New Roman"/>
      <color theme="1"/>
      <sz val="12"/>
    </font>
    <font>
      <name val="Times New Roman"/>
      <family val="1"/>
      <color rgb="FF000000"/>
      <sz val="10"/>
    </font>
    <font>
      <name val="Times New Roman"/>
      <family val="1"/>
      <b val="1"/>
      <color rgb="FF006100"/>
      <sz val="12"/>
    </font>
    <font>
      <name val="Times New Roman"/>
      <family val="1"/>
      <sz val="10"/>
    </font>
    <font>
      <name val="Times New Roman"/>
      <family val="1"/>
      <color rgb="FF000000"/>
      <sz val="11"/>
    </font>
    <font>
      <name val="Times New Roman"/>
      <family val="1"/>
      <color theme="1"/>
      <sz val="11"/>
    </font>
    <font>
      <name val="Times New Roman"/>
      <family val="1"/>
      <b val="1"/>
      <color theme="1"/>
      <sz val="12"/>
    </font>
    <font>
      <name val="Times New Roman"/>
      <family val="1"/>
      <b val="1"/>
      <i val="1"/>
      <color theme="1"/>
      <sz val="12"/>
    </font>
    <font>
      <name val="Times New Roman"/>
      <family val="1"/>
      <color rgb="FF000000"/>
      <sz val="12"/>
    </font>
    <font>
      <name val="Times New Roman"/>
      <family val="1"/>
      <color theme="1"/>
      <sz val="12"/>
    </font>
    <font>
      <name val="Times New Roman"/>
      <family val="1"/>
      <sz val="12"/>
    </font>
    <font>
      <name val="Times New Roman"/>
      <family val="1"/>
      <b val="1"/>
      <color rgb="FF000000"/>
      <sz val="20"/>
    </font>
    <font>
      <name val="Times New Roman"/>
      <family val="1"/>
      <b val="1"/>
      <color rgb="FF000000"/>
      <sz val="12"/>
    </font>
    <font>
      <name val="Times New Roman"/>
      <family val="1"/>
      <b val="1"/>
      <color rgb="FF993300"/>
      <sz val="11"/>
    </font>
  </fonts>
  <fills count="7">
    <fill>
      <patternFill/>
    </fill>
    <fill>
      <patternFill patternType="gray125"/>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theme="8" tint="0.5999938962981048"/>
        <bgColor rgb="FFFFFFFF"/>
      </patternFill>
    </fill>
    <fill>
      <patternFill patternType="solid">
        <fgColor theme="7" tint="0.5999938962981048"/>
        <bgColor indexed="64"/>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rgb="FF000000"/>
      </left>
      <right style="thin">
        <color rgb="FF000000"/>
      </right>
      <top/>
      <bottom/>
      <diagonal/>
    </border>
  </borders>
  <cellStyleXfs count="1">
    <xf numFmtId="0" fontId="0" fillId="0" borderId="0"/>
  </cellStyleXfs>
  <cellXfs count="97">
    <xf numFmtId="0" fontId="0" fillId="0" borderId="0" pivotButton="0" quotePrefix="0" xfId="0"/>
    <xf numFmtId="0" fontId="3" fillId="2" borderId="13" applyAlignment="1" pivotButton="0" quotePrefix="0" xfId="0">
      <alignment horizontal="center" vertical="top" wrapText="1"/>
    </xf>
    <xf numFmtId="0" fontId="3" fillId="2" borderId="12" applyAlignment="1" pivotButton="0" quotePrefix="0" xfId="0">
      <alignment horizontal="center" vertical="top" wrapText="1"/>
    </xf>
    <xf numFmtId="0" fontId="3" fillId="2" borderId="14" applyAlignment="1" pivotButton="0" quotePrefix="0" xfId="0">
      <alignment horizontal="center" vertical="top" wrapText="1"/>
    </xf>
    <xf numFmtId="0" fontId="4" fillId="4" borderId="12" applyAlignment="1" pivotButton="0" quotePrefix="0" xfId="0">
      <alignment horizontal="center" vertical="top"/>
    </xf>
    <xf numFmtId="0" fontId="5" fillId="0" borderId="12" applyAlignment="1" pivotButton="0" quotePrefix="0" xfId="0">
      <alignment horizontal="center" vertical="center" wrapText="1"/>
    </xf>
    <xf numFmtId="0" fontId="5" fillId="0" borderId="12" applyAlignment="1" pivotButton="0" quotePrefix="0" xfId="0">
      <alignment vertical="center" wrapText="1"/>
    </xf>
    <xf numFmtId="0" fontId="5" fillId="0" borderId="12" applyAlignment="1" pivotButton="0" quotePrefix="0" xfId="0">
      <alignment vertical="top"/>
    </xf>
    <xf numFmtId="0" fontId="6" fillId="0" borderId="0" pivotButton="0" quotePrefix="0" xfId="0"/>
    <xf numFmtId="0" fontId="9" fillId="0" borderId="12" pivotButton="0" quotePrefix="0" xfId="0"/>
    <xf numFmtId="0" fontId="13" fillId="0" borderId="0" pivotButton="0" quotePrefix="0" xfId="0"/>
    <xf numFmtId="0" fontId="14" fillId="2" borderId="13" applyAlignment="1" pivotButton="0" quotePrefix="0" xfId="0">
      <alignment horizontal="center" vertical="top" wrapText="1"/>
    </xf>
    <xf numFmtId="0" fontId="14" fillId="2" borderId="12" applyAlignment="1" pivotButton="0" quotePrefix="0" xfId="0">
      <alignment horizontal="center" vertical="top" wrapText="1"/>
    </xf>
    <xf numFmtId="0" fontId="14" fillId="2" borderId="14" applyAlignment="1" pivotButton="0" quotePrefix="0" xfId="0">
      <alignment horizontal="center" vertical="top" wrapText="1"/>
    </xf>
    <xf numFmtId="0" fontId="13" fillId="2" borderId="12" applyAlignment="1" pivotButton="0" quotePrefix="0" xfId="0">
      <alignment horizontal="center" vertical="center"/>
    </xf>
    <xf numFmtId="0" fontId="13" fillId="2" borderId="12" applyAlignment="1" pivotButton="0" quotePrefix="0" xfId="0">
      <alignment horizontal="left" vertical="center" wrapText="1"/>
    </xf>
    <xf numFmtId="0" fontId="13" fillId="0" borderId="12" applyAlignment="1" pivotButton="0" quotePrefix="0" xfId="0">
      <alignment horizontal="left" vertical="top" wrapText="1"/>
    </xf>
    <xf numFmtId="0" fontId="13" fillId="0" borderId="12" applyAlignment="1" pivotButton="0" quotePrefix="0" xfId="0">
      <alignment horizontal="center" vertical="center"/>
    </xf>
    <xf numFmtId="0" fontId="13" fillId="2" borderId="12" pivotButton="0" quotePrefix="0" xfId="0"/>
    <xf numFmtId="0" fontId="14" fillId="2" borderId="12" applyAlignment="1" pivotButton="0" quotePrefix="0" xfId="0">
      <alignment vertical="center" wrapText="1"/>
    </xf>
    <xf numFmtId="0" fontId="14" fillId="0" borderId="12" applyAlignment="1" pivotButton="0" quotePrefix="0" xfId="0">
      <alignment vertical="top" wrapText="1"/>
    </xf>
    <xf numFmtId="0" fontId="14" fillId="2" borderId="12" applyAlignment="1" pivotButton="0" quotePrefix="0" xfId="0">
      <alignment horizontal="left" vertical="center" wrapText="1"/>
    </xf>
    <xf numFmtId="0" fontId="14" fillId="0" borderId="12" applyAlignment="1" pivotButton="0" quotePrefix="0" xfId="0">
      <alignment horizontal="left" vertical="center" wrapText="1"/>
    </xf>
    <xf numFmtId="0" fontId="13" fillId="0" borderId="12" pivotButton="0" quotePrefix="0" xfId="0"/>
    <xf numFmtId="0" fontId="13" fillId="0" borderId="12" applyAlignment="1" pivotButton="0" quotePrefix="0" xfId="0">
      <alignment horizontal="left" wrapText="1"/>
    </xf>
    <xf numFmtId="0" fontId="14" fillId="2" borderId="5" applyAlignment="1" pivotButton="0" quotePrefix="0" xfId="0">
      <alignment vertical="center" wrapText="1"/>
    </xf>
    <xf numFmtId="0" fontId="14" fillId="0" borderId="12" applyAlignment="1" pivotButton="0" quotePrefix="0" xfId="0">
      <alignment vertical="center" wrapText="1"/>
    </xf>
    <xf numFmtId="0" fontId="14" fillId="0" borderId="8" applyAlignment="1" pivotButton="0" quotePrefix="0" xfId="0">
      <alignment vertical="center" wrapText="1"/>
    </xf>
    <xf numFmtId="0" fontId="13" fillId="2" borderId="5" applyAlignment="1" pivotButton="0" quotePrefix="0" xfId="0">
      <alignment horizontal="left" vertical="center" wrapText="1"/>
    </xf>
    <xf numFmtId="0" fontId="11" fillId="5" borderId="13" applyAlignment="1" pivotButton="0" quotePrefix="0" xfId="0">
      <alignment horizontal="center" vertical="center" wrapText="1"/>
    </xf>
    <xf numFmtId="0" fontId="12" fillId="5" borderId="12" applyAlignment="1" pivotButton="0" quotePrefix="0" xfId="0">
      <alignment horizontal="center" vertical="center" wrapText="1"/>
    </xf>
    <xf numFmtId="0" fontId="12" fillId="5" borderId="14" applyAlignment="1" pivotButton="0" quotePrefix="0" xfId="0">
      <alignment horizontal="center" vertical="center" wrapText="1"/>
    </xf>
    <xf numFmtId="0" fontId="1" fillId="5" borderId="13" applyAlignment="1" pivotButton="0" quotePrefix="0" xfId="0">
      <alignment horizontal="center" vertical="top" wrapText="1"/>
    </xf>
    <xf numFmtId="0" fontId="2" fillId="5" borderId="12" applyAlignment="1" pivotButton="0" quotePrefix="0" xfId="0">
      <alignment horizontal="center" vertical="top" wrapText="1"/>
    </xf>
    <xf numFmtId="0" fontId="2" fillId="5" borderId="14" applyAlignment="1" pivotButton="0" quotePrefix="0" xfId="0">
      <alignment horizontal="center" vertical="top" wrapText="1"/>
    </xf>
    <xf numFmtId="0" fontId="13" fillId="0" borderId="16" applyAlignment="1" pivotButton="0" quotePrefix="0" xfId="0">
      <alignment horizontal="center" vertical="center"/>
    </xf>
    <xf numFmtId="0" fontId="13" fillId="6" borderId="16" applyAlignment="1" pivotButton="0" quotePrefix="0" xfId="0">
      <alignment horizontal="center" vertical="center"/>
    </xf>
    <xf numFmtId="14" fontId="13" fillId="0" borderId="16" applyAlignment="1" pivotButton="0" quotePrefix="0" xfId="0">
      <alignment horizontal="center" vertical="center"/>
    </xf>
    <xf numFmtId="0" fontId="13" fillId="6" borderId="17" applyAlignment="1" pivotButton="0" quotePrefix="0" xfId="0">
      <alignment horizontal="center" vertical="center"/>
    </xf>
    <xf numFmtId="0" fontId="9" fillId="0" borderId="0" pivotButton="0" quotePrefix="0" xfId="0"/>
    <xf numFmtId="0" fontId="17" fillId="2" borderId="9" pivotButton="0" quotePrefix="0" xfId="0"/>
    <xf numFmtId="0" fontId="17" fillId="2" borderId="8" pivotButton="0" quotePrefix="0" xfId="0"/>
    <xf numFmtId="0" fontId="13" fillId="0" borderId="8" pivotButton="0" quotePrefix="0" xfId="0"/>
    <xf numFmtId="0" fontId="17" fillId="2" borderId="12" pivotButton="0" quotePrefix="0" xfId="0"/>
    <xf numFmtId="0" fontId="6" fillId="0" borderId="12" pivotButton="0" quotePrefix="0" xfId="0"/>
    <xf numFmtId="49" fontId="13" fillId="0" borderId="12" applyAlignment="1" pivotButton="0" quotePrefix="0" xfId="0">
      <alignment horizontal="left"/>
    </xf>
    <xf numFmtId="0" fontId="6" fillId="0" borderId="0" applyAlignment="1" pivotButton="0" quotePrefix="0" xfId="0">
      <alignment horizontal="left"/>
    </xf>
    <xf numFmtId="0" fontId="18" fillId="3" borderId="12" applyAlignment="1" pivotButton="0" quotePrefix="0" xfId="0">
      <alignment horizontal="center"/>
    </xf>
    <xf numFmtId="0" fontId="10" fillId="0" borderId="12" applyAlignment="1" pivotButton="0" quotePrefix="0" xfId="0">
      <alignment horizontal="center"/>
    </xf>
    <xf numFmtId="0" fontId="9" fillId="0" borderId="12" applyAlignment="1" pivotButton="0" quotePrefix="0" xfId="0">
      <alignment horizontal="center"/>
    </xf>
    <xf numFmtId="0" fontId="18" fillId="3" borderId="12" pivotButton="0" quotePrefix="0" xfId="0"/>
    <xf numFmtId="0" fontId="18" fillId="2" borderId="0" pivotButton="0" quotePrefix="0" xfId="0"/>
    <xf numFmtId="0" fontId="9" fillId="0" borderId="0" applyAlignment="1" pivotButton="0" quotePrefix="0" xfId="0">
      <alignment horizontal="right"/>
    </xf>
    <xf numFmtId="0" fontId="16" fillId="0" borderId="1" applyAlignment="1" pivotButton="0" quotePrefix="0" xfId="0">
      <alignment horizontal="center" vertical="center"/>
    </xf>
    <xf numFmtId="0" fontId="8" fillId="0" borderId="2" pivotButton="0" quotePrefix="0" xfId="0"/>
    <xf numFmtId="0" fontId="8" fillId="0" borderId="3" pivotButton="0" quotePrefix="0" xfId="0"/>
    <xf numFmtId="0" fontId="8" fillId="0" borderId="4" pivotButton="0" quotePrefix="0" xfId="0"/>
    <xf numFmtId="0" fontId="6" fillId="0" borderId="0" pivotButton="0" quotePrefix="0" xfId="0"/>
    <xf numFmtId="0" fontId="8" fillId="0" borderId="5" pivotButton="0" quotePrefix="0" xfId="0"/>
    <xf numFmtId="0" fontId="8" fillId="0" borderId="6" pivotButton="0" quotePrefix="0" xfId="0"/>
    <xf numFmtId="0" fontId="8" fillId="0" borderId="7" pivotButton="0" quotePrefix="0" xfId="0"/>
    <xf numFmtId="0" fontId="8" fillId="0" borderId="8" pivotButton="0" quotePrefix="0" xfId="0"/>
    <xf numFmtId="0" fontId="13" fillId="2" borderId="10" pivotButton="0" quotePrefix="0" xfId="0"/>
    <xf numFmtId="0" fontId="8" fillId="0" borderId="10" pivotButton="0" quotePrefix="0" xfId="0"/>
    <xf numFmtId="0" fontId="8" fillId="0" borderId="11" pivotButton="0" quotePrefix="0" xfId="0"/>
    <xf numFmtId="0" fontId="13" fillId="0" borderId="10" pivotButton="0" quotePrefix="0" xfId="0"/>
    <xf numFmtId="0" fontId="13" fillId="0" borderId="16" applyAlignment="1" pivotButton="0" quotePrefix="0" xfId="0">
      <alignment horizontal="center" vertical="center"/>
    </xf>
    <xf numFmtId="0" fontId="13" fillId="6" borderId="16" applyAlignment="1" pivotButton="0" quotePrefix="0" xfId="0">
      <alignment horizontal="center" vertical="center"/>
    </xf>
    <xf numFmtId="49" fontId="13" fillId="0" borderId="18" applyAlignment="1" pivotButton="0" quotePrefix="0" xfId="0">
      <alignment horizontal="left" vertical="center" wrapText="1"/>
    </xf>
    <xf numFmtId="49" fontId="13" fillId="0" borderId="19" applyAlignment="1" pivotButton="0" quotePrefix="0" xfId="0">
      <alignment horizontal="left" vertical="center"/>
    </xf>
    <xf numFmtId="49" fontId="13" fillId="0" borderId="20" applyAlignment="1" pivotButton="0" quotePrefix="0" xfId="0">
      <alignment horizontal="left" vertical="center"/>
    </xf>
    <xf numFmtId="49" fontId="13" fillId="0" borderId="21" applyAlignment="1" pivotButton="0" quotePrefix="0" xfId="0">
      <alignment horizontal="left" vertical="center"/>
    </xf>
    <xf numFmtId="0" fontId="7" fillId="4" borderId="15" applyAlignment="1" pivotButton="0" quotePrefix="0" xfId="0">
      <alignment horizontal="center" vertical="center"/>
    </xf>
    <xf numFmtId="0" fontId="15" fillId="0" borderId="9" applyAlignment="1" pivotButton="0" quotePrefix="0" xfId="0">
      <alignment vertical="center"/>
    </xf>
    <xf numFmtId="0" fontId="7" fillId="4" borderId="3" applyAlignment="1" pivotButton="0" quotePrefix="0" xfId="0">
      <alignment horizontal="center" vertical="center" wrapText="1"/>
    </xf>
    <xf numFmtId="0" fontId="15" fillId="0" borderId="8" applyAlignment="1" pivotButton="0" quotePrefix="0" xfId="0">
      <alignment vertical="center"/>
    </xf>
    <xf numFmtId="0" fontId="16" fillId="0" borderId="12"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3" fillId="2" borderId="11" pivotButton="0" quotePrefix="0" xfId="0"/>
    <xf numFmtId="0" fontId="0" fillId="0" borderId="10" pivotButton="0" quotePrefix="0" xfId="0"/>
    <xf numFmtId="0" fontId="0" fillId="0" borderId="11" pivotButton="0" quotePrefix="0" xfId="0"/>
    <xf numFmtId="0" fontId="13" fillId="0" borderId="11" pivotButton="0" quotePrefix="0" xfId="0"/>
    <xf numFmtId="0" fontId="0" fillId="0" borderId="26" pivotButton="0" quotePrefix="0" xfId="0"/>
    <xf numFmtId="49" fontId="13" fillId="0" borderId="16" applyAlignment="1" pivotButton="0" quotePrefix="0" xfId="0">
      <alignment horizontal="left" vertical="center" wrapText="1"/>
    </xf>
    <xf numFmtId="0" fontId="0" fillId="0" borderId="19" pivotButton="0" quotePrefix="0" xfId="0"/>
    <xf numFmtId="0" fontId="0" fillId="0" borderId="24" pivotButton="0" quotePrefix="0" xfId="0"/>
    <xf numFmtId="0" fontId="0" fillId="0" borderId="20" pivotButton="0" quotePrefix="0" xfId="0"/>
    <xf numFmtId="0" fontId="0" fillId="0" borderId="21" pivotButton="0" quotePrefix="0" xfId="0"/>
    <xf numFmtId="0" fontId="7" fillId="4" borderId="12" applyAlignment="1" pivotButton="0" quotePrefix="0" xfId="0">
      <alignment horizontal="center" vertical="center"/>
    </xf>
    <xf numFmtId="0" fontId="7" fillId="4" borderId="11" applyAlignment="1" pivotButton="0" quotePrefix="0" xfId="0">
      <alignment horizontal="center" vertical="center" wrapText="1"/>
    </xf>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A961"/>
  <sheetViews>
    <sheetView workbookViewId="0">
      <selection activeCell="C27" sqref="C27"/>
    </sheetView>
  </sheetViews>
  <sheetFormatPr baseColWidth="8" defaultColWidth="12.5703125" defaultRowHeight="15.75" customHeight="1"/>
  <cols>
    <col width="16.7109375" customWidth="1" style="57" min="1" max="1"/>
    <col width="43.28515625" customWidth="1" style="57" min="2" max="2"/>
    <col width="21.140625" customWidth="1" style="57" min="3" max="3"/>
    <col width="15" customWidth="1" style="57" min="4" max="4"/>
    <col width="18.42578125" customWidth="1" style="57" min="5" max="5"/>
    <col width="12.5703125" customWidth="1" style="57" min="6" max="16384"/>
  </cols>
  <sheetData>
    <row r="1" ht="15.75" customHeight="1">
      <c r="A1" s="76" t="inlineStr">
        <is>
          <t>USER ACCEPTANCE TESTING REPORT</t>
        </is>
      </c>
      <c r="B1" s="77" t="n"/>
      <c r="C1" s="77" t="n"/>
      <c r="D1" s="77" t="n"/>
      <c r="E1" s="77" t="n"/>
      <c r="F1" s="78" t="n"/>
      <c r="G1" s="39" t="n"/>
      <c r="H1" s="39" t="n"/>
      <c r="I1" s="39" t="n"/>
      <c r="J1" s="39" t="n"/>
      <c r="K1" s="39" t="n"/>
      <c r="L1" s="39" t="n"/>
      <c r="M1" s="39" t="n"/>
      <c r="N1" s="39" t="n"/>
      <c r="O1" s="39" t="n"/>
      <c r="P1" s="39" t="n"/>
      <c r="Q1" s="39" t="n"/>
      <c r="R1" s="39" t="n"/>
      <c r="S1" s="39" t="n"/>
      <c r="T1" s="39" t="n"/>
      <c r="U1" s="39" t="n"/>
      <c r="V1" s="39" t="n"/>
      <c r="W1" s="39" t="n"/>
      <c r="X1" s="39" t="n"/>
      <c r="Y1" s="39" t="n"/>
      <c r="Z1" s="39" t="n"/>
      <c r="AA1" s="39" t="n"/>
    </row>
    <row r="2" ht="15.75" customHeight="1">
      <c r="A2" s="79" t="n"/>
      <c r="F2" s="80" t="n"/>
      <c r="G2" s="39" t="n"/>
      <c r="H2" s="39" t="n"/>
      <c r="I2" s="39" t="n"/>
      <c r="J2" s="39" t="n"/>
      <c r="K2" s="39" t="n"/>
      <c r="L2" s="39" t="n"/>
      <c r="M2" s="39" t="n"/>
      <c r="N2" s="39" t="n"/>
      <c r="O2" s="39" t="n"/>
      <c r="P2" s="39" t="n"/>
      <c r="Q2" s="39" t="n"/>
      <c r="R2" s="39" t="n"/>
      <c r="S2" s="39" t="n"/>
      <c r="T2" s="39" t="n"/>
      <c r="U2" s="39" t="n"/>
      <c r="V2" s="39" t="n"/>
      <c r="W2" s="39" t="n"/>
      <c r="X2" s="39" t="n"/>
      <c r="Y2" s="39" t="n"/>
      <c r="Z2" s="39" t="n"/>
      <c r="AA2" s="39" t="n"/>
    </row>
    <row r="3" ht="15.75" customHeight="1">
      <c r="A3" s="81" t="n"/>
      <c r="B3" s="82" t="n"/>
      <c r="C3" s="82" t="n"/>
      <c r="D3" s="82" t="n"/>
      <c r="E3" s="82" t="n"/>
      <c r="F3" s="83" t="n"/>
      <c r="G3" s="39" t="n"/>
      <c r="H3" s="39" t="n"/>
      <c r="I3" s="39" t="n"/>
      <c r="J3" s="39" t="n"/>
      <c r="K3" s="39" t="n"/>
      <c r="L3" s="39" t="n"/>
      <c r="M3" s="39" t="n"/>
      <c r="N3" s="39" t="n"/>
      <c r="O3" s="39" t="n"/>
      <c r="P3" s="39" t="n"/>
      <c r="Q3" s="39" t="n"/>
      <c r="R3" s="39" t="n"/>
      <c r="S3" s="39" t="n"/>
      <c r="T3" s="39" t="n"/>
      <c r="U3" s="39" t="n"/>
      <c r="V3" s="39" t="n"/>
      <c r="W3" s="39" t="n"/>
      <c r="X3" s="39" t="n"/>
      <c r="Y3" s="39" t="n"/>
      <c r="Z3" s="39" t="n"/>
      <c r="AA3" s="39" t="n"/>
    </row>
    <row r="4" ht="15.75" customHeight="1">
      <c r="A4" s="40" t="inlineStr">
        <is>
          <t>Project Name</t>
        </is>
      </c>
      <c r="B4" s="84" t="inlineStr">
        <is>
          <t>Tutor Connect System</t>
        </is>
      </c>
      <c r="C4" s="85" t="n"/>
      <c r="D4" s="86" t="n"/>
      <c r="E4" s="41" t="inlineStr">
        <is>
          <t>Creator</t>
        </is>
      </c>
      <c r="F4" s="42" t="inlineStr">
        <is>
          <t>&lt;Nhóm SEP490 - TCS&gt;</t>
        </is>
      </c>
      <c r="G4" s="39" t="n"/>
      <c r="I4" s="39" t="n"/>
    </row>
    <row r="5" ht="15.75" customHeight="1">
      <c r="A5" s="40" t="inlineStr">
        <is>
          <t>Project Code</t>
        </is>
      </c>
      <c r="B5" s="84" t="inlineStr">
        <is>
          <t>TCS</t>
        </is>
      </c>
      <c r="C5" s="85" t="n"/>
      <c r="D5" s="86" t="n"/>
      <c r="E5" s="43" t="inlineStr">
        <is>
          <t>Issue Date</t>
        </is>
      </c>
      <c r="F5" s="44" t="n"/>
      <c r="G5" s="39" t="n"/>
    </row>
    <row r="6" ht="15.75" customHeight="1">
      <c r="A6" s="40" t="inlineStr">
        <is>
          <t>Document Code</t>
        </is>
      </c>
      <c r="B6" s="87" t="inlineStr">
        <is>
          <t>TCS_ACCEPTANCE_TEST_v1.0</t>
        </is>
      </c>
      <c r="C6" s="85" t="n"/>
      <c r="D6" s="86" t="n"/>
      <c r="E6" s="43" t="inlineStr">
        <is>
          <t>Version</t>
        </is>
      </c>
      <c r="F6" s="45" t="inlineStr">
        <is>
          <t>1.0</t>
        </is>
      </c>
      <c r="G6" s="39" t="n"/>
    </row>
    <row r="7" ht="12.75" customHeight="1">
      <c r="C7" s="46" t="n"/>
    </row>
    <row r="8" ht="12.75" customHeight="1"/>
    <row r="9" ht="12.75" customHeight="1"/>
    <row r="10" ht="15.75" customHeight="1">
      <c r="B10" s="47" t="n"/>
      <c r="C10" s="47" t="inlineStr">
        <is>
          <t>Chấp nhận</t>
        </is>
      </c>
      <c r="D10" s="47" t="inlineStr">
        <is>
          <t>Từ chối</t>
        </is>
      </c>
      <c r="E10" s="47" t="inlineStr">
        <is>
          <t>Chưa kiểm tra</t>
        </is>
      </c>
      <c r="F10" s="47" t="inlineStr">
        <is>
          <t>Tổng</t>
        </is>
      </c>
    </row>
    <row r="11" ht="15.75" customHeight="1">
      <c r="B11" s="48" t="inlineStr">
        <is>
          <t>Function</t>
        </is>
      </c>
      <c r="C11" s="49">
        <f>Function!B6</f>
        <v/>
      </c>
      <c r="D11" s="49">
        <f>Function!C6</f>
        <v/>
      </c>
      <c r="E11" s="49">
        <f>Function!D6</f>
        <v/>
      </c>
      <c r="F11" s="49">
        <f>SUM(C11:E11)</f>
        <v/>
      </c>
      <c r="G11" s="39" t="n"/>
      <c r="H11" s="39" t="n"/>
      <c r="I11" s="39" t="n"/>
      <c r="J11" s="39" t="n"/>
      <c r="K11" s="39" t="n"/>
      <c r="L11" s="39" t="n"/>
      <c r="M11" s="39" t="n"/>
      <c r="N11" s="39" t="n"/>
      <c r="O11" s="39" t="n"/>
      <c r="P11" s="39" t="n"/>
      <c r="Q11" s="39" t="n"/>
      <c r="R11" s="39" t="n"/>
      <c r="S11" s="39" t="n"/>
      <c r="T11" s="39" t="n"/>
      <c r="U11" s="39" t="n"/>
      <c r="V11" s="39" t="n"/>
      <c r="W11" s="39" t="n"/>
      <c r="X11" s="39" t="n"/>
      <c r="Y11" s="39" t="n"/>
      <c r="Z11" s="39" t="n"/>
    </row>
    <row r="12" ht="15.75" customHeight="1">
      <c r="B12" s="48" t="inlineStr">
        <is>
          <t>Non-Function</t>
        </is>
      </c>
      <c r="C12" s="49">
        <f>'Non-Function'!B2</f>
        <v/>
      </c>
      <c r="D12" s="49">
        <f>'Non-Function'!C2</f>
        <v/>
      </c>
      <c r="E12" s="49">
        <f>'Non-Function'!D2</f>
        <v/>
      </c>
      <c r="F12" s="49">
        <f>SUM(C12:E12)</f>
        <v/>
      </c>
      <c r="G12" s="39" t="n"/>
      <c r="H12" s="39" t="n"/>
      <c r="I12" s="39" t="n"/>
      <c r="J12" s="39" t="n"/>
      <c r="K12" s="39" t="n"/>
      <c r="L12" s="39" t="n"/>
      <c r="M12" s="39" t="n"/>
      <c r="N12" s="39" t="n"/>
      <c r="O12" s="39" t="n"/>
      <c r="P12" s="39" t="n"/>
      <c r="Q12" s="39" t="n"/>
      <c r="R12" s="39" t="n"/>
      <c r="S12" s="39" t="n"/>
      <c r="T12" s="39" t="n"/>
      <c r="U12" s="39" t="n"/>
      <c r="V12" s="39" t="n"/>
      <c r="W12" s="39" t="n"/>
      <c r="X12" s="39" t="n"/>
      <c r="Y12" s="39" t="n"/>
      <c r="Z12" s="39" t="n"/>
    </row>
    <row r="13" ht="15.75" customHeight="1">
      <c r="B13" s="48" t="inlineStr">
        <is>
          <t>Tổng</t>
        </is>
      </c>
      <c r="C13" s="49">
        <f>SUM(C11:C12)</f>
        <v/>
      </c>
      <c r="D13" s="49">
        <f>SUM(D11:D12)</f>
        <v/>
      </c>
      <c r="E13" s="49">
        <f>SUM(E11:E12)</f>
        <v/>
      </c>
      <c r="F13" s="49">
        <f>SUM(F11:F12)</f>
        <v/>
      </c>
      <c r="G13" s="39" t="n"/>
      <c r="H13" s="39" t="n"/>
      <c r="I13" s="39" t="n"/>
      <c r="J13" s="39" t="n"/>
      <c r="K13" s="39" t="n"/>
      <c r="L13" s="39" t="n"/>
      <c r="M13" s="39" t="n"/>
      <c r="N13" s="39" t="n"/>
      <c r="O13" s="39" t="n"/>
      <c r="P13" s="39" t="n"/>
      <c r="Q13" s="39" t="n"/>
      <c r="R13" s="39" t="n"/>
      <c r="S13" s="39" t="n"/>
      <c r="T13" s="39" t="n"/>
      <c r="U13" s="39" t="n"/>
      <c r="V13" s="39" t="n"/>
      <c r="W13" s="39" t="n"/>
      <c r="X13" s="39" t="n"/>
      <c r="Y13" s="39" t="n"/>
      <c r="Z13" s="39" t="n"/>
    </row>
    <row r="14" ht="15.75" customHeight="1">
      <c r="F14" s="39" t="n"/>
      <c r="G14" s="39" t="n"/>
      <c r="H14" s="39" t="n"/>
      <c r="I14" s="39" t="n"/>
      <c r="J14" s="39" t="n"/>
      <c r="K14" s="39" t="n"/>
      <c r="L14" s="39" t="n"/>
      <c r="M14" s="39" t="n"/>
      <c r="N14" s="39" t="n"/>
      <c r="O14" s="39" t="n"/>
      <c r="P14" s="39" t="n"/>
      <c r="Q14" s="39" t="n"/>
      <c r="R14" s="39" t="n"/>
      <c r="S14" s="39" t="n"/>
      <c r="T14" s="39" t="n"/>
      <c r="U14" s="39" t="n"/>
      <c r="V14" s="39" t="n"/>
      <c r="W14" s="39" t="n"/>
      <c r="X14" s="39" t="n"/>
      <c r="Y14" s="39" t="n"/>
      <c r="Z14" s="39" t="n"/>
    </row>
    <row r="15" ht="15.75" customHeight="1">
      <c r="B15" s="50" t="inlineStr">
        <is>
          <t>Test coverage</t>
        </is>
      </c>
      <c r="C15" s="49" t="n">
        <v>100</v>
      </c>
      <c r="D15" s="9" t="inlineStr">
        <is>
          <t>%</t>
        </is>
      </c>
      <c r="F15" s="39" t="n"/>
      <c r="G15" s="39" t="n"/>
      <c r="H15" s="39" t="n"/>
      <c r="I15" s="39" t="n"/>
      <c r="J15" s="39" t="n"/>
      <c r="K15" s="39" t="n"/>
      <c r="L15" s="39" t="n"/>
      <c r="M15" s="39" t="n"/>
      <c r="N15" s="39" t="n"/>
      <c r="O15" s="39" t="n"/>
      <c r="P15" s="39" t="n"/>
      <c r="Q15" s="39" t="n"/>
      <c r="R15" s="39" t="n"/>
      <c r="S15" s="39" t="n"/>
      <c r="T15" s="39" t="n"/>
      <c r="U15" s="39" t="n"/>
      <c r="V15" s="39" t="n"/>
      <c r="W15" s="39" t="n"/>
      <c r="X15" s="39" t="n"/>
      <c r="Y15" s="39" t="n"/>
      <c r="Z15" s="39" t="n"/>
    </row>
    <row r="16" ht="15.75" customHeight="1">
      <c r="B16" s="50" t="inlineStr">
        <is>
          <t>Test successful coverage</t>
        </is>
      </c>
      <c r="C16" s="49">
        <f>C13*100/F13</f>
        <v/>
      </c>
      <c r="D16" s="9" t="inlineStr">
        <is>
          <t>%</t>
        </is>
      </c>
      <c r="F16" s="39" t="n"/>
      <c r="G16" s="39" t="n"/>
      <c r="H16" s="39" t="n"/>
      <c r="I16" s="39" t="n"/>
      <c r="J16" s="39" t="n"/>
      <c r="K16" s="39" t="n"/>
      <c r="L16" s="39" t="n"/>
      <c r="M16" s="39" t="n"/>
      <c r="N16" s="39" t="n"/>
      <c r="O16" s="39" t="n"/>
      <c r="P16" s="39" t="n"/>
      <c r="Q16" s="39" t="n"/>
      <c r="R16" s="39" t="n"/>
      <c r="S16" s="39" t="n"/>
      <c r="T16" s="39" t="n"/>
      <c r="U16" s="39" t="n"/>
      <c r="V16" s="39" t="n"/>
      <c r="W16" s="39" t="n"/>
      <c r="X16" s="39" t="n"/>
      <c r="Y16" s="39" t="n"/>
      <c r="Z16" s="39" t="n"/>
    </row>
    <row r="17" ht="15.75" customHeight="1">
      <c r="F17" s="39" t="n"/>
      <c r="G17" s="39" t="n"/>
      <c r="H17" s="39" t="n"/>
      <c r="I17" s="39" t="n"/>
      <c r="J17" s="39" t="n"/>
      <c r="K17" s="39" t="n"/>
      <c r="L17" s="39" t="n"/>
      <c r="M17" s="39" t="n"/>
      <c r="N17" s="39" t="n"/>
      <c r="O17" s="39" t="n"/>
      <c r="P17" s="39" t="n"/>
      <c r="Q17" s="39" t="n"/>
      <c r="R17" s="39" t="n"/>
      <c r="S17" s="39" t="n"/>
      <c r="T17" s="39" t="n"/>
      <c r="U17" s="39" t="n"/>
      <c r="V17" s="39" t="n"/>
      <c r="W17" s="39" t="n"/>
      <c r="X17" s="39" t="n"/>
      <c r="Y17" s="39" t="n"/>
      <c r="Z17" s="39" t="n"/>
    </row>
    <row r="18" ht="15.75" customHeight="1">
      <c r="F18" s="39" t="n"/>
      <c r="G18" s="39" t="n"/>
      <c r="H18" s="39" t="n"/>
      <c r="I18" s="39" t="n"/>
      <c r="J18" s="39" t="n"/>
      <c r="K18" s="39" t="n"/>
      <c r="L18" s="39" t="n"/>
      <c r="M18" s="39" t="n"/>
      <c r="N18" s="39" t="n"/>
      <c r="O18" s="39" t="n"/>
      <c r="P18" s="39" t="n"/>
      <c r="Q18" s="39" t="n"/>
      <c r="R18" s="39" t="n"/>
      <c r="S18" s="39" t="n"/>
      <c r="T18" s="39" t="n"/>
      <c r="U18" s="39" t="n"/>
      <c r="V18" s="39" t="n"/>
      <c r="W18" s="39" t="n"/>
      <c r="X18" s="39" t="n"/>
      <c r="Y18" s="39" t="n"/>
      <c r="Z18" s="39" t="n"/>
    </row>
    <row r="19" ht="15.75" customHeight="1">
      <c r="F19" s="39" t="n"/>
      <c r="G19" s="39" t="n"/>
      <c r="H19" s="39" t="n"/>
      <c r="I19" s="39" t="n"/>
      <c r="J19" s="39" t="n"/>
      <c r="K19" s="39" t="n"/>
      <c r="L19" s="39" t="n"/>
      <c r="M19" s="39" t="n"/>
      <c r="N19" s="39" t="n"/>
      <c r="O19" s="39" t="n"/>
      <c r="P19" s="39" t="n"/>
      <c r="Q19" s="39" t="n"/>
      <c r="R19" s="39" t="n"/>
      <c r="S19" s="39" t="n"/>
      <c r="T19" s="39" t="n"/>
      <c r="U19" s="39" t="n"/>
      <c r="V19" s="39" t="n"/>
      <c r="W19" s="39" t="n"/>
      <c r="X19" s="39" t="n"/>
      <c r="Y19" s="39" t="n"/>
      <c r="Z19" s="39" t="n"/>
    </row>
    <row r="20" ht="15.75" customHeight="1">
      <c r="F20" s="39" t="n"/>
      <c r="G20" s="39" t="n"/>
      <c r="H20" s="39" t="n"/>
      <c r="I20" s="39" t="n"/>
      <c r="J20" s="39" t="n"/>
      <c r="K20" s="39" t="n"/>
      <c r="L20" s="39" t="n"/>
      <c r="M20" s="39" t="n"/>
      <c r="N20" s="39" t="n"/>
      <c r="O20" s="39" t="n"/>
      <c r="P20" s="39" t="n"/>
      <c r="Q20" s="39" t="n"/>
      <c r="R20" s="39" t="n"/>
      <c r="S20" s="39" t="n"/>
      <c r="T20" s="39" t="n"/>
      <c r="U20" s="39" t="n"/>
      <c r="V20" s="39" t="n"/>
      <c r="W20" s="39" t="n"/>
      <c r="X20" s="39" t="n"/>
      <c r="Y20" s="39" t="n"/>
      <c r="Z20" s="39" t="n"/>
    </row>
    <row r="21" ht="15.75" customHeight="1">
      <c r="F21" s="39" t="n"/>
      <c r="G21" s="39" t="n"/>
      <c r="H21" s="39" t="n"/>
      <c r="I21" s="39" t="n"/>
      <c r="J21" s="39" t="n"/>
      <c r="K21" s="39" t="n"/>
      <c r="L21" s="39" t="n"/>
      <c r="M21" s="39" t="n"/>
      <c r="N21" s="39" t="n"/>
      <c r="O21" s="39" t="n"/>
      <c r="P21" s="39" t="n"/>
      <c r="Q21" s="39" t="n"/>
      <c r="R21" s="39" t="n"/>
      <c r="S21" s="39" t="n"/>
      <c r="T21" s="39" t="n"/>
      <c r="U21" s="39" t="n"/>
      <c r="V21" s="39" t="n"/>
      <c r="W21" s="39" t="n"/>
      <c r="X21" s="39" t="n"/>
      <c r="Y21" s="39" t="n"/>
      <c r="Z21" s="39" t="n"/>
    </row>
    <row r="22" ht="15.75" customHeight="1">
      <c r="F22" s="39" t="n"/>
      <c r="G22" s="39" t="n"/>
      <c r="H22" s="39" t="n"/>
      <c r="I22" s="39" t="n"/>
      <c r="J22" s="39" t="n"/>
      <c r="K22" s="39" t="n"/>
      <c r="L22" s="39" t="n"/>
      <c r="M22" s="39" t="n"/>
      <c r="N22" s="39" t="n"/>
      <c r="O22" s="39" t="n"/>
      <c r="P22" s="39" t="n"/>
      <c r="Q22" s="39" t="n"/>
      <c r="R22" s="39" t="n"/>
      <c r="S22" s="39" t="n"/>
      <c r="T22" s="39" t="n"/>
      <c r="U22" s="39" t="n"/>
      <c r="V22" s="39" t="n"/>
      <c r="W22" s="39" t="n"/>
      <c r="X22" s="39" t="n"/>
      <c r="Y22" s="39" t="n"/>
      <c r="Z22" s="39" t="n"/>
    </row>
    <row r="23" ht="15.75" customHeight="1">
      <c r="F23" s="39" t="n"/>
      <c r="G23" s="39" t="n"/>
      <c r="H23" s="39" t="n"/>
      <c r="I23" s="39" t="n"/>
      <c r="J23" s="39" t="n"/>
      <c r="K23" s="39" t="n"/>
      <c r="L23" s="39" t="n"/>
      <c r="M23" s="39" t="n"/>
      <c r="N23" s="39" t="n"/>
      <c r="O23" s="39" t="n"/>
      <c r="P23" s="39" t="n"/>
      <c r="Q23" s="39" t="n"/>
      <c r="R23" s="39" t="n"/>
      <c r="S23" s="39" t="n"/>
      <c r="T23" s="39" t="n"/>
      <c r="U23" s="39" t="n"/>
      <c r="V23" s="39" t="n"/>
      <c r="W23" s="39" t="n"/>
      <c r="X23" s="39" t="n"/>
      <c r="Y23" s="39" t="n"/>
      <c r="Z23" s="39" t="n"/>
    </row>
    <row r="24" ht="15.75" customHeight="1">
      <c r="F24" s="39" t="n"/>
      <c r="G24" s="39" t="n"/>
      <c r="H24" s="39" t="n"/>
      <c r="I24" s="39" t="n"/>
      <c r="J24" s="39" t="n"/>
      <c r="K24" s="39" t="n"/>
      <c r="L24" s="39" t="n"/>
      <c r="M24" s="39" t="n"/>
      <c r="N24" s="39" t="n"/>
      <c r="O24" s="39" t="n"/>
      <c r="P24" s="39" t="n"/>
      <c r="Q24" s="39" t="n"/>
      <c r="R24" s="39" t="n"/>
      <c r="S24" s="39" t="n"/>
      <c r="T24" s="39" t="n"/>
      <c r="U24" s="39" t="n"/>
      <c r="V24" s="39" t="n"/>
      <c r="W24" s="39" t="n"/>
      <c r="X24" s="39" t="n"/>
      <c r="Y24" s="39" t="n"/>
      <c r="Z24" s="39" t="n"/>
    </row>
    <row r="25" ht="15.75" customHeight="1">
      <c r="F25" s="39" t="n"/>
      <c r="G25" s="39" t="n"/>
      <c r="H25" s="39" t="n"/>
      <c r="I25" s="39" t="n"/>
      <c r="J25" s="39" t="n"/>
      <c r="K25" s="39" t="n"/>
      <c r="L25" s="39" t="n"/>
      <c r="M25" s="39" t="n"/>
      <c r="N25" s="39" t="n"/>
      <c r="O25" s="39" t="n"/>
      <c r="P25" s="39" t="n"/>
      <c r="Q25" s="39" t="n"/>
      <c r="R25" s="39" t="n"/>
      <c r="S25" s="39" t="n"/>
      <c r="T25" s="39" t="n"/>
      <c r="U25" s="39" t="n"/>
      <c r="V25" s="39" t="n"/>
      <c r="W25" s="39" t="n"/>
      <c r="X25" s="39" t="n"/>
      <c r="Y25" s="39" t="n"/>
      <c r="Z25" s="39" t="n"/>
    </row>
    <row r="26" ht="15.75" customHeight="1">
      <c r="F26" s="39" t="n"/>
      <c r="G26" s="39" t="n"/>
      <c r="H26" s="39" t="n"/>
      <c r="I26" s="39" t="n"/>
      <c r="J26" s="39" t="n"/>
      <c r="K26" s="39" t="n"/>
      <c r="L26" s="39" t="n"/>
      <c r="M26" s="39" t="n"/>
      <c r="N26" s="39" t="n"/>
      <c r="O26" s="39" t="n"/>
      <c r="P26" s="39" t="n"/>
      <c r="Q26" s="39" t="n"/>
      <c r="R26" s="39" t="n"/>
      <c r="S26" s="39" t="n"/>
      <c r="T26" s="39" t="n"/>
      <c r="U26" s="39" t="n"/>
      <c r="V26" s="39" t="n"/>
      <c r="W26" s="39" t="n"/>
      <c r="X26" s="39" t="n"/>
      <c r="Y26" s="39" t="n"/>
      <c r="Z26" s="39" t="n"/>
    </row>
    <row r="27" ht="15.75" customHeight="1">
      <c r="F27" s="39" t="n"/>
      <c r="G27" s="39" t="n"/>
      <c r="H27" s="39" t="n"/>
      <c r="I27" s="39" t="n"/>
      <c r="J27" s="39" t="n"/>
      <c r="K27" s="39" t="n"/>
      <c r="L27" s="39" t="n"/>
      <c r="M27" s="39" t="n"/>
      <c r="N27" s="39" t="n"/>
      <c r="O27" s="39" t="n"/>
      <c r="P27" s="39" t="n"/>
      <c r="Q27" s="39" t="n"/>
      <c r="R27" s="39" t="n"/>
      <c r="S27" s="39" t="n"/>
      <c r="T27" s="39" t="n"/>
      <c r="U27" s="39" t="n"/>
      <c r="V27" s="39" t="n"/>
      <c r="W27" s="39" t="n"/>
      <c r="X27" s="39" t="n"/>
      <c r="Y27" s="39" t="n"/>
      <c r="Z27" s="39" t="n"/>
    </row>
    <row r="28" ht="15.75" customHeight="1">
      <c r="F28" s="39" t="n"/>
      <c r="G28" s="39" t="n"/>
      <c r="H28" s="39" t="n"/>
      <c r="I28" s="39" t="n"/>
      <c r="J28" s="39" t="n"/>
      <c r="K28" s="39" t="n"/>
      <c r="L28" s="39" t="n"/>
      <c r="M28" s="39" t="n"/>
      <c r="N28" s="39" t="n"/>
      <c r="O28" s="39" t="n"/>
      <c r="P28" s="39" t="n"/>
      <c r="Q28" s="39" t="n"/>
      <c r="R28" s="39" t="n"/>
      <c r="S28" s="39" t="n"/>
      <c r="T28" s="39" t="n"/>
      <c r="U28" s="39" t="n"/>
      <c r="V28" s="39" t="n"/>
      <c r="W28" s="39" t="n"/>
      <c r="X28" s="39" t="n"/>
      <c r="Y28" s="39" t="n"/>
      <c r="Z28" s="39" t="n"/>
    </row>
    <row r="29" ht="15.75" customHeight="1">
      <c r="F29" s="39" t="n"/>
      <c r="G29" s="39" t="n"/>
      <c r="H29" s="39" t="n"/>
      <c r="I29" s="39" t="n"/>
      <c r="J29" s="39" t="n"/>
      <c r="K29" s="39" t="n"/>
      <c r="L29" s="39" t="n"/>
      <c r="M29" s="39" t="n"/>
      <c r="N29" s="39" t="n"/>
      <c r="O29" s="39" t="n"/>
      <c r="P29" s="39" t="n"/>
      <c r="Q29" s="39" t="n"/>
      <c r="R29" s="39" t="n"/>
      <c r="S29" s="39" t="n"/>
      <c r="T29" s="39" t="n"/>
      <c r="U29" s="39" t="n"/>
      <c r="V29" s="39" t="n"/>
      <c r="W29" s="39" t="n"/>
      <c r="X29" s="39" t="n"/>
      <c r="Y29" s="39" t="n"/>
      <c r="Z29" s="39" t="n"/>
    </row>
    <row r="30" ht="15.75" customHeight="1">
      <c r="F30" s="39" t="n"/>
      <c r="G30" s="39" t="n"/>
      <c r="H30" s="39" t="n"/>
      <c r="I30" s="39" t="n"/>
      <c r="J30" s="39" t="n"/>
      <c r="K30" s="39" t="n"/>
      <c r="L30" s="39" t="n"/>
      <c r="M30" s="39" t="n"/>
      <c r="N30" s="39" t="n"/>
      <c r="O30" s="39" t="n"/>
      <c r="P30" s="39" t="n"/>
      <c r="Q30" s="39" t="n"/>
      <c r="R30" s="39" t="n"/>
      <c r="S30" s="39" t="n"/>
      <c r="T30" s="39" t="n"/>
      <c r="U30" s="39" t="n"/>
      <c r="V30" s="39" t="n"/>
      <c r="W30" s="39" t="n"/>
      <c r="X30" s="39" t="n"/>
      <c r="Y30" s="39" t="n"/>
      <c r="Z30" s="39" t="n"/>
    </row>
    <row r="31" ht="15.75" customHeight="1">
      <c r="F31" s="39" t="n"/>
      <c r="G31" s="39" t="n"/>
      <c r="H31" s="39" t="n"/>
      <c r="I31" s="39" t="n"/>
      <c r="J31" s="39" t="n"/>
      <c r="K31" s="39" t="n"/>
      <c r="L31" s="39" t="n"/>
      <c r="M31" s="39" t="n"/>
      <c r="N31" s="39" t="n"/>
      <c r="O31" s="39" t="n"/>
      <c r="P31" s="39" t="n"/>
      <c r="Q31" s="39" t="n"/>
      <c r="R31" s="39" t="n"/>
      <c r="S31" s="39" t="n"/>
      <c r="T31" s="39" t="n"/>
      <c r="U31" s="39" t="n"/>
      <c r="V31" s="39" t="n"/>
      <c r="W31" s="39" t="n"/>
      <c r="X31" s="39" t="n"/>
      <c r="Y31" s="39" t="n"/>
      <c r="Z31" s="39" t="n"/>
    </row>
    <row r="32" ht="15.75" customHeight="1">
      <c r="F32" s="39" t="n"/>
      <c r="G32" s="39" t="n"/>
      <c r="H32" s="39" t="n"/>
      <c r="I32" s="39" t="n"/>
      <c r="J32" s="39" t="n"/>
      <c r="K32" s="39" t="n"/>
      <c r="L32" s="39" t="n"/>
      <c r="M32" s="39" t="n"/>
      <c r="N32" s="39" t="n"/>
      <c r="O32" s="39" t="n"/>
      <c r="P32" s="39" t="n"/>
      <c r="Q32" s="39" t="n"/>
      <c r="R32" s="39" t="n"/>
      <c r="S32" s="39" t="n"/>
      <c r="T32" s="39" t="n"/>
      <c r="U32" s="39" t="n"/>
      <c r="V32" s="39" t="n"/>
      <c r="W32" s="39" t="n"/>
      <c r="X32" s="39" t="n"/>
      <c r="Y32" s="39" t="n"/>
      <c r="Z32" s="39" t="n"/>
    </row>
    <row r="33" ht="15.75" customHeight="1">
      <c r="F33" s="39" t="n"/>
      <c r="G33" s="39" t="n"/>
      <c r="H33" s="39" t="n"/>
      <c r="I33" s="39" t="n"/>
      <c r="J33" s="39" t="n"/>
      <c r="K33" s="39" t="n"/>
      <c r="L33" s="39" t="n"/>
      <c r="M33" s="39" t="n"/>
      <c r="N33" s="39" t="n"/>
      <c r="O33" s="39" t="n"/>
      <c r="P33" s="39" t="n"/>
      <c r="Q33" s="39" t="n"/>
      <c r="R33" s="39" t="n"/>
      <c r="S33" s="39" t="n"/>
      <c r="T33" s="39" t="n"/>
      <c r="U33" s="39" t="n"/>
      <c r="V33" s="39" t="n"/>
      <c r="W33" s="39" t="n"/>
      <c r="X33" s="39" t="n"/>
      <c r="Y33" s="39" t="n"/>
      <c r="Z33" s="39" t="n"/>
    </row>
    <row r="34" ht="15.75" customHeight="1">
      <c r="F34" s="39" t="n"/>
      <c r="G34" s="39" t="n"/>
      <c r="H34" s="39" t="n"/>
      <c r="I34" s="39" t="n"/>
      <c r="J34" s="39" t="n"/>
      <c r="K34" s="39" t="n"/>
      <c r="L34" s="39" t="n"/>
      <c r="M34" s="39" t="n"/>
      <c r="N34" s="39" t="n"/>
      <c r="O34" s="39" t="n"/>
      <c r="P34" s="39" t="n"/>
      <c r="Q34" s="39" t="n"/>
      <c r="R34" s="39" t="n"/>
      <c r="S34" s="39" t="n"/>
      <c r="T34" s="39" t="n"/>
      <c r="U34" s="39" t="n"/>
      <c r="V34" s="39" t="n"/>
      <c r="W34" s="39" t="n"/>
      <c r="X34" s="39" t="n"/>
      <c r="Y34" s="39" t="n"/>
      <c r="Z34" s="39" t="n"/>
    </row>
    <row r="35" ht="15" customHeight="1">
      <c r="F35" s="39" t="n"/>
      <c r="G35" s="39" t="n"/>
      <c r="H35" s="39" t="n"/>
      <c r="I35" s="39" t="n"/>
      <c r="J35" s="39" t="n"/>
      <c r="K35" s="39" t="n"/>
      <c r="L35" s="39" t="n"/>
      <c r="M35" s="39" t="n"/>
      <c r="N35" s="39" t="n"/>
      <c r="O35" s="39" t="n"/>
      <c r="P35" s="39" t="n"/>
      <c r="Q35" s="39" t="n"/>
      <c r="R35" s="39" t="n"/>
      <c r="S35" s="39" t="n"/>
      <c r="T35" s="39" t="n"/>
      <c r="U35" s="39" t="n"/>
      <c r="V35" s="39" t="n"/>
      <c r="W35" s="39" t="n"/>
      <c r="X35" s="39" t="n"/>
      <c r="Y35" s="39" t="n"/>
      <c r="Z35" s="39" t="n"/>
    </row>
    <row r="36" ht="15" customHeight="1">
      <c r="F36" s="39" t="n"/>
      <c r="G36" s="39" t="n"/>
      <c r="H36" s="39" t="n"/>
      <c r="I36" s="39" t="n"/>
      <c r="J36" s="39" t="n"/>
      <c r="K36" s="39" t="n"/>
      <c r="L36" s="39" t="n"/>
      <c r="M36" s="39" t="n"/>
      <c r="N36" s="39" t="n"/>
      <c r="O36" s="39" t="n"/>
      <c r="P36" s="39" t="n"/>
      <c r="Q36" s="39" t="n"/>
      <c r="R36" s="39" t="n"/>
      <c r="S36" s="39" t="n"/>
      <c r="T36" s="39" t="n"/>
      <c r="U36" s="39" t="n"/>
      <c r="V36" s="39" t="n"/>
      <c r="W36" s="39" t="n"/>
      <c r="X36" s="39" t="n"/>
      <c r="Y36" s="39" t="n"/>
      <c r="Z36" s="39" t="n"/>
    </row>
    <row r="37" ht="15" customHeight="1">
      <c r="F37" s="39" t="n"/>
      <c r="G37" s="39" t="n"/>
      <c r="H37" s="39" t="n"/>
      <c r="I37" s="39" t="n"/>
      <c r="J37" s="39" t="n"/>
      <c r="K37" s="39" t="n"/>
      <c r="L37" s="39" t="n"/>
      <c r="M37" s="39" t="n"/>
      <c r="N37" s="39" t="n"/>
      <c r="O37" s="39" t="n"/>
      <c r="P37" s="39" t="n"/>
      <c r="Q37" s="39" t="n"/>
      <c r="R37" s="39" t="n"/>
      <c r="S37" s="39" t="n"/>
      <c r="T37" s="39" t="n"/>
      <c r="U37" s="39" t="n"/>
      <c r="V37" s="39" t="n"/>
      <c r="W37" s="39" t="n"/>
      <c r="X37" s="39" t="n"/>
      <c r="Y37" s="39" t="n"/>
      <c r="Z37" s="39" t="n"/>
    </row>
    <row r="38" ht="15" customHeight="1">
      <c r="F38" s="39" t="n"/>
      <c r="G38" s="39" t="n"/>
      <c r="H38" s="39" t="n"/>
      <c r="I38" s="39" t="n"/>
      <c r="J38" s="39" t="n"/>
      <c r="K38" s="39" t="n"/>
      <c r="L38" s="39" t="n"/>
      <c r="M38" s="39" t="n"/>
      <c r="N38" s="39" t="n"/>
      <c r="O38" s="39" t="n"/>
      <c r="P38" s="39" t="n"/>
      <c r="Q38" s="39" t="n"/>
      <c r="R38" s="39" t="n"/>
      <c r="S38" s="39" t="n"/>
      <c r="T38" s="39" t="n"/>
      <c r="U38" s="39" t="n"/>
      <c r="V38" s="39" t="n"/>
      <c r="W38" s="39" t="n"/>
      <c r="X38" s="39" t="n"/>
      <c r="Y38" s="39" t="n"/>
      <c r="Z38" s="39" t="n"/>
    </row>
    <row r="39" ht="15" customHeight="1">
      <c r="F39" s="39" t="n"/>
      <c r="G39" s="39" t="n"/>
      <c r="H39" s="39" t="n"/>
      <c r="I39" s="39" t="n"/>
      <c r="J39" s="39" t="n"/>
      <c r="K39" s="39" t="n"/>
      <c r="L39" s="39" t="n"/>
      <c r="M39" s="39" t="n"/>
      <c r="N39" s="39" t="n"/>
      <c r="O39" s="39" t="n"/>
      <c r="P39" s="39" t="n"/>
      <c r="Q39" s="39" t="n"/>
      <c r="R39" s="39" t="n"/>
      <c r="S39" s="39" t="n"/>
      <c r="T39" s="39" t="n"/>
      <c r="U39" s="39" t="n"/>
      <c r="V39" s="39" t="n"/>
      <c r="W39" s="39" t="n"/>
      <c r="X39" s="39" t="n"/>
      <c r="Y39" s="39" t="n"/>
      <c r="Z39" s="39" t="n"/>
    </row>
    <row r="40" ht="15" customHeight="1">
      <c r="F40" s="39" t="n"/>
      <c r="G40" s="39" t="n"/>
      <c r="H40" s="39" t="n"/>
      <c r="I40" s="39" t="n"/>
      <c r="J40" s="39" t="n"/>
      <c r="K40" s="39" t="n"/>
      <c r="L40" s="39" t="n"/>
      <c r="M40" s="39" t="n"/>
      <c r="N40" s="39" t="n"/>
      <c r="O40" s="39" t="n"/>
      <c r="P40" s="39" t="n"/>
      <c r="Q40" s="39" t="n"/>
      <c r="R40" s="39" t="n"/>
      <c r="S40" s="39" t="n"/>
      <c r="T40" s="39" t="n"/>
      <c r="U40" s="39" t="n"/>
      <c r="V40" s="39" t="n"/>
      <c r="W40" s="39" t="n"/>
      <c r="X40" s="39" t="n"/>
      <c r="Y40" s="39" t="n"/>
      <c r="Z40" s="39" t="n"/>
    </row>
    <row r="41" ht="15" customHeight="1">
      <c r="F41" s="39" t="n"/>
      <c r="G41" s="39" t="n"/>
      <c r="H41" s="39" t="n"/>
      <c r="I41" s="39" t="n"/>
      <c r="J41" s="39" t="n"/>
      <c r="K41" s="39" t="n"/>
      <c r="L41" s="39" t="n"/>
      <c r="M41" s="39" t="n"/>
      <c r="N41" s="39" t="n"/>
      <c r="O41" s="39" t="n"/>
      <c r="P41" s="39" t="n"/>
      <c r="Q41" s="39" t="n"/>
      <c r="R41" s="39" t="n"/>
      <c r="S41" s="39" t="n"/>
      <c r="T41" s="39" t="n"/>
      <c r="U41" s="39" t="n"/>
      <c r="V41" s="39" t="n"/>
      <c r="W41" s="39" t="n"/>
      <c r="X41" s="39" t="n"/>
      <c r="Y41" s="39" t="n"/>
      <c r="Z41" s="39" t="n"/>
    </row>
    <row r="42" ht="15" customHeight="1">
      <c r="F42" s="39" t="n"/>
      <c r="G42" s="39" t="n"/>
      <c r="H42" s="39" t="n"/>
      <c r="I42" s="39" t="n"/>
      <c r="J42" s="39" t="n"/>
      <c r="K42" s="39" t="n"/>
      <c r="L42" s="39" t="n"/>
      <c r="M42" s="39" t="n"/>
      <c r="N42" s="39" t="n"/>
      <c r="O42" s="39" t="n"/>
      <c r="P42" s="39" t="n"/>
      <c r="Q42" s="39" t="n"/>
      <c r="R42" s="39" t="n"/>
      <c r="S42" s="39" t="n"/>
      <c r="T42" s="39" t="n"/>
      <c r="U42" s="39" t="n"/>
      <c r="V42" s="39" t="n"/>
      <c r="W42" s="39" t="n"/>
      <c r="X42" s="39" t="n"/>
      <c r="Y42" s="39" t="n"/>
      <c r="Z42" s="39" t="n"/>
    </row>
    <row r="43" ht="15" customHeight="1">
      <c r="F43" s="39" t="n"/>
      <c r="G43" s="39" t="n"/>
      <c r="H43" s="39" t="n"/>
      <c r="I43" s="39" t="n"/>
      <c r="J43" s="39" t="n"/>
      <c r="K43" s="39" t="n"/>
      <c r="L43" s="39" t="n"/>
      <c r="M43" s="39" t="n"/>
      <c r="N43" s="39" t="n"/>
      <c r="O43" s="39" t="n"/>
      <c r="P43" s="39" t="n"/>
      <c r="Q43" s="39" t="n"/>
      <c r="R43" s="39" t="n"/>
      <c r="S43" s="39" t="n"/>
      <c r="T43" s="39" t="n"/>
      <c r="U43" s="39" t="n"/>
      <c r="V43" s="39" t="n"/>
      <c r="W43" s="39" t="n"/>
      <c r="X43" s="39" t="n"/>
      <c r="Y43" s="39" t="n"/>
      <c r="Z43" s="39" t="n"/>
    </row>
    <row r="44" ht="15" customHeight="1">
      <c r="F44" s="39" t="n"/>
      <c r="G44" s="39" t="n"/>
      <c r="H44" s="39" t="n"/>
      <c r="I44" s="39" t="n"/>
      <c r="J44" s="39" t="n"/>
      <c r="K44" s="39" t="n"/>
      <c r="L44" s="39" t="n"/>
      <c r="M44" s="39" t="n"/>
      <c r="N44" s="39" t="n"/>
      <c r="O44" s="39" t="n"/>
      <c r="P44" s="39" t="n"/>
      <c r="Q44" s="39" t="n"/>
      <c r="R44" s="39" t="n"/>
      <c r="S44" s="39" t="n"/>
      <c r="T44" s="39" t="n"/>
      <c r="U44" s="39" t="n"/>
      <c r="V44" s="39" t="n"/>
      <c r="W44" s="39" t="n"/>
      <c r="X44" s="39" t="n"/>
      <c r="Y44" s="39" t="n"/>
      <c r="Z44" s="39" t="n"/>
    </row>
    <row r="45" ht="15" customHeight="1">
      <c r="F45" s="39" t="n"/>
      <c r="G45" s="39" t="n"/>
      <c r="H45" s="39" t="n"/>
      <c r="I45" s="39" t="n"/>
      <c r="J45" s="39" t="n"/>
      <c r="K45" s="39" t="n"/>
      <c r="L45" s="39" t="n"/>
      <c r="M45" s="39" t="n"/>
      <c r="N45" s="39" t="n"/>
      <c r="O45" s="39" t="n"/>
      <c r="P45" s="39" t="n"/>
      <c r="Q45" s="39" t="n"/>
      <c r="R45" s="39" t="n"/>
      <c r="S45" s="39" t="n"/>
      <c r="T45" s="39" t="n"/>
      <c r="U45" s="39" t="n"/>
      <c r="V45" s="39" t="n"/>
      <c r="W45" s="39" t="n"/>
      <c r="X45" s="39" t="n"/>
      <c r="Y45" s="39" t="n"/>
      <c r="Z45" s="39" t="n"/>
    </row>
    <row r="46" ht="15" customHeight="1">
      <c r="F46" s="39" t="n"/>
      <c r="G46" s="39" t="n"/>
      <c r="H46" s="39" t="n"/>
      <c r="I46" s="39" t="n"/>
      <c r="J46" s="39" t="n"/>
      <c r="K46" s="39" t="n"/>
      <c r="L46" s="39" t="n"/>
      <c r="M46" s="39" t="n"/>
      <c r="N46" s="39" t="n"/>
      <c r="O46" s="39" t="n"/>
      <c r="P46" s="39" t="n"/>
      <c r="Q46" s="39" t="n"/>
      <c r="R46" s="39" t="n"/>
      <c r="S46" s="39" t="n"/>
      <c r="T46" s="39" t="n"/>
      <c r="U46" s="39" t="n"/>
      <c r="V46" s="39" t="n"/>
      <c r="W46" s="39" t="n"/>
      <c r="X46" s="39" t="n"/>
      <c r="Y46" s="39" t="n"/>
      <c r="Z46" s="39" t="n"/>
    </row>
    <row r="47" ht="15" customHeight="1">
      <c r="F47" s="39" t="n"/>
      <c r="G47" s="39" t="n"/>
      <c r="H47" s="39" t="n"/>
      <c r="I47" s="39" t="n"/>
      <c r="J47" s="39" t="n"/>
      <c r="K47" s="39" t="n"/>
      <c r="L47" s="39" t="n"/>
      <c r="M47" s="39" t="n"/>
      <c r="N47" s="39" t="n"/>
      <c r="O47" s="39" t="n"/>
      <c r="P47" s="39" t="n"/>
      <c r="Q47" s="39" t="n"/>
      <c r="R47" s="39" t="n"/>
      <c r="S47" s="39" t="n"/>
      <c r="T47" s="39" t="n"/>
      <c r="U47" s="39" t="n"/>
      <c r="V47" s="39" t="n"/>
      <c r="W47" s="39" t="n"/>
      <c r="X47" s="39" t="n"/>
      <c r="Y47" s="39" t="n"/>
      <c r="Z47" s="39" t="n"/>
    </row>
    <row r="48" ht="15" customHeight="1">
      <c r="F48" s="39" t="n"/>
      <c r="G48" s="39" t="n"/>
      <c r="H48" s="39" t="n"/>
      <c r="I48" s="39" t="n"/>
      <c r="J48" s="39" t="n"/>
      <c r="K48" s="39" t="n"/>
      <c r="L48" s="39" t="n"/>
      <c r="M48" s="39" t="n"/>
      <c r="N48" s="39" t="n"/>
      <c r="O48" s="39" t="n"/>
      <c r="P48" s="39" t="n"/>
      <c r="Q48" s="39" t="n"/>
      <c r="R48" s="39" t="n"/>
      <c r="S48" s="39" t="n"/>
      <c r="T48" s="39" t="n"/>
      <c r="U48" s="39" t="n"/>
      <c r="V48" s="39" t="n"/>
      <c r="W48" s="39" t="n"/>
      <c r="X48" s="39" t="n"/>
      <c r="Y48" s="39" t="n"/>
      <c r="Z48" s="39" t="n"/>
    </row>
    <row r="49" ht="15" customHeight="1">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row>
    <row r="50" ht="15" customHeight="1">
      <c r="F50" s="39" t="n"/>
      <c r="G50" s="39" t="n"/>
      <c r="H50" s="39" t="n"/>
      <c r="I50" s="39" t="n"/>
      <c r="J50" s="39" t="n"/>
      <c r="K50" s="39" t="n"/>
      <c r="L50" s="39" t="n"/>
      <c r="M50" s="39" t="n"/>
      <c r="N50" s="39" t="n"/>
      <c r="O50" s="39" t="n"/>
      <c r="P50" s="39" t="n"/>
      <c r="Q50" s="39" t="n"/>
      <c r="R50" s="39" t="n"/>
      <c r="S50" s="39" t="n"/>
      <c r="T50" s="39" t="n"/>
      <c r="U50" s="39" t="n"/>
      <c r="V50" s="39" t="n"/>
      <c r="W50" s="39" t="n"/>
      <c r="X50" s="39" t="n"/>
      <c r="Y50" s="39" t="n"/>
      <c r="Z50" s="39" t="n"/>
    </row>
    <row r="51" ht="15" customHeight="1">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39" t="n"/>
    </row>
    <row r="52" ht="15" customHeight="1">
      <c r="F52" s="39" t="n"/>
      <c r="G52" s="39" t="n"/>
      <c r="H52" s="39" t="n"/>
      <c r="I52" s="39" t="n"/>
      <c r="J52" s="39" t="n"/>
      <c r="K52" s="39" t="n"/>
      <c r="L52" s="39" t="n"/>
      <c r="M52" s="39" t="n"/>
      <c r="N52" s="39" t="n"/>
      <c r="O52" s="39" t="n"/>
      <c r="P52" s="39" t="n"/>
      <c r="Q52" s="39" t="n"/>
      <c r="R52" s="39" t="n"/>
      <c r="S52" s="39" t="n"/>
      <c r="T52" s="39" t="n"/>
      <c r="U52" s="39" t="n"/>
      <c r="V52" s="39" t="n"/>
      <c r="W52" s="39" t="n"/>
      <c r="X52" s="39" t="n"/>
      <c r="Y52" s="39" t="n"/>
      <c r="Z52" s="39" t="n"/>
    </row>
    <row r="53" ht="15" customHeight="1">
      <c r="F53" s="39" t="n"/>
      <c r="G53" s="39" t="n"/>
      <c r="H53" s="39" t="n"/>
      <c r="I53" s="39" t="n"/>
      <c r="J53" s="39" t="n"/>
      <c r="K53" s="39" t="n"/>
      <c r="L53" s="39" t="n"/>
      <c r="M53" s="39" t="n"/>
      <c r="N53" s="39" t="n"/>
      <c r="O53" s="39" t="n"/>
      <c r="P53" s="39" t="n"/>
      <c r="Q53" s="39" t="n"/>
      <c r="R53" s="39" t="n"/>
      <c r="S53" s="39" t="n"/>
      <c r="T53" s="39" t="n"/>
      <c r="U53" s="39" t="n"/>
      <c r="V53" s="39" t="n"/>
      <c r="W53" s="39" t="n"/>
      <c r="X53" s="39" t="n"/>
      <c r="Y53" s="39" t="n"/>
      <c r="Z53" s="39" t="n"/>
    </row>
    <row r="54" ht="15" customHeight="1">
      <c r="F54" s="39" t="n"/>
      <c r="G54" s="39" t="n"/>
      <c r="H54" s="39" t="n"/>
      <c r="I54" s="39" t="n"/>
      <c r="J54" s="39" t="n"/>
      <c r="K54" s="39" t="n"/>
      <c r="L54" s="39" t="n"/>
      <c r="M54" s="39" t="n"/>
      <c r="N54" s="39" t="n"/>
      <c r="O54" s="39" t="n"/>
      <c r="P54" s="39" t="n"/>
      <c r="Q54" s="39" t="n"/>
      <c r="R54" s="39" t="n"/>
      <c r="S54" s="39" t="n"/>
      <c r="T54" s="39" t="n"/>
      <c r="U54" s="39" t="n"/>
      <c r="V54" s="39" t="n"/>
      <c r="W54" s="39" t="n"/>
      <c r="X54" s="39" t="n"/>
      <c r="Y54" s="39" t="n"/>
      <c r="Z54" s="39" t="n"/>
    </row>
    <row r="55" ht="15" customHeight="1">
      <c r="A55" s="39" t="n"/>
      <c r="B55" s="39" t="n"/>
      <c r="C55" s="39" t="n"/>
      <c r="D55" s="39" t="n"/>
      <c r="E55" s="39" t="n"/>
      <c r="F55" s="39" t="n"/>
      <c r="G55" s="39" t="n"/>
      <c r="H55" s="39" t="n"/>
      <c r="I55" s="39" t="n"/>
      <c r="J55" s="39" t="n"/>
      <c r="K55" s="39" t="n"/>
      <c r="L55" s="39" t="n"/>
      <c r="M55" s="39" t="n"/>
      <c r="N55" s="39" t="n"/>
      <c r="O55" s="39" t="n"/>
      <c r="P55" s="39" t="n"/>
      <c r="Q55" s="39" t="n"/>
      <c r="R55" s="39" t="n"/>
      <c r="S55" s="39" t="n"/>
      <c r="T55" s="39" t="n"/>
      <c r="U55" s="39" t="n"/>
    </row>
    <row r="56" ht="15" customHeight="1">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39" t="n"/>
      <c r="AA56" s="39" t="n"/>
    </row>
    <row r="57" ht="15" customHeight="1">
      <c r="B57" s="47" t="inlineStr">
        <is>
          <t>Tổng cộng</t>
        </is>
      </c>
      <c r="C57" s="47" t="inlineStr">
        <is>
          <t>Chấp nhận</t>
        </is>
      </c>
      <c r="D57" s="50" t="inlineStr">
        <is>
          <t>Từ chối</t>
        </is>
      </c>
      <c r="F57" s="39" t="n"/>
      <c r="G57" s="39" t="n"/>
      <c r="H57" s="39" t="n"/>
      <c r="I57" s="39" t="n"/>
      <c r="J57" s="39" t="n"/>
      <c r="K57" s="39" t="n"/>
      <c r="L57" s="39" t="n"/>
      <c r="M57" s="39" t="n"/>
      <c r="N57" s="39" t="n"/>
      <c r="O57" s="39" t="n"/>
      <c r="P57" s="39" t="n"/>
      <c r="Q57" s="39" t="n"/>
      <c r="R57" s="39" t="n"/>
      <c r="S57" s="39" t="n"/>
      <c r="T57" s="39" t="n"/>
      <c r="U57" s="39" t="n"/>
      <c r="V57" s="39" t="n"/>
      <c r="W57" s="39" t="n"/>
      <c r="X57" s="39" t="n"/>
      <c r="Y57" s="39" t="n"/>
      <c r="Z57" s="39" t="n"/>
      <c r="AA57" s="39" t="n"/>
    </row>
    <row r="58" ht="15" customHeight="1">
      <c r="B58" s="48">
        <f>COUNT(Function!A10:A49)</f>
        <v/>
      </c>
      <c r="C58" s="49">
        <f>COUNTIF(Function!$D$10:$D$49,C57)</f>
        <v/>
      </c>
      <c r="D58" s="49">
        <f>COUNTIF(Function!$D$10:$D$49,D57)</f>
        <v/>
      </c>
      <c r="F58" s="39" t="n"/>
      <c r="G58" s="39" t="n"/>
      <c r="H58" s="39" t="n"/>
      <c r="I58" s="39" t="n"/>
      <c r="J58" s="39" t="n"/>
      <c r="K58" s="39" t="n"/>
      <c r="L58" s="39" t="n"/>
      <c r="M58" s="39" t="n"/>
      <c r="N58" s="39" t="n"/>
      <c r="O58" s="39" t="n"/>
      <c r="P58" s="39" t="n"/>
      <c r="Q58" s="39" t="n"/>
      <c r="R58" s="39" t="n"/>
      <c r="S58" s="39" t="n"/>
      <c r="T58" s="39" t="n"/>
      <c r="U58" s="39" t="n"/>
      <c r="V58" s="39" t="n"/>
      <c r="W58" s="39" t="n"/>
      <c r="X58" s="39" t="n"/>
      <c r="Y58" s="39" t="n"/>
      <c r="Z58" s="39" t="n"/>
      <c r="AA58" s="39" t="n"/>
    </row>
    <row r="59" ht="12.75" customHeight="1"/>
    <row r="60" ht="15" customHeight="1">
      <c r="B60" s="50" t="inlineStr">
        <is>
          <t>Test coverage</t>
        </is>
      </c>
      <c r="C60" s="49" t="n">
        <v>100</v>
      </c>
      <c r="D60" s="9" t="inlineStr">
        <is>
          <t>%</t>
        </is>
      </c>
    </row>
    <row r="61" ht="15" customHeight="1">
      <c r="B61" s="50" t="inlineStr">
        <is>
          <t>Test successful coverage</t>
        </is>
      </c>
      <c r="C61" s="49">
        <f>C58*100/B58</f>
        <v/>
      </c>
      <c r="D61" s="9" t="inlineStr">
        <is>
          <t>%</t>
        </is>
      </c>
    </row>
    <row r="62" ht="12.75" customHeight="1">
      <c r="C62" s="46" t="n"/>
    </row>
    <row r="63" ht="15" customHeight="1">
      <c r="B63" s="39" t="n"/>
      <c r="C63" s="51" t="n"/>
      <c r="D63" s="52" t="n"/>
      <c r="E63" s="39" t="n"/>
      <c r="F63" s="39" t="n"/>
    </row>
    <row r="64" ht="15" customHeight="1">
      <c r="B64" s="39" t="n"/>
      <c r="F64" s="39" t="n"/>
    </row>
    <row r="65" ht="15" customHeight="1">
      <c r="B65" s="39" t="n"/>
      <c r="F65" s="39" t="n"/>
    </row>
    <row r="66" ht="12.75" customHeight="1">
      <c r="D66" s="46" t="n"/>
    </row>
    <row r="67" ht="12.75" customHeight="1">
      <c r="C67" s="46" t="n"/>
    </row>
    <row r="68" ht="12.75" customHeight="1">
      <c r="C68" s="46" t="n"/>
    </row>
    <row r="69" ht="12.75" customHeight="1">
      <c r="C69" s="46" t="n"/>
    </row>
    <row r="70" ht="12.75" customHeight="1">
      <c r="C70" s="46" t="n"/>
    </row>
    <row r="71" ht="12.75" customHeight="1">
      <c r="C71" s="46" t="n"/>
    </row>
    <row r="72" ht="12.75" customHeight="1">
      <c r="C72" s="46" t="n"/>
    </row>
    <row r="73" ht="12.75" customHeight="1">
      <c r="C73" s="46" t="n"/>
    </row>
    <row r="74" ht="12.75" customHeight="1">
      <c r="C74" s="46" t="n"/>
    </row>
    <row r="75" ht="12.75" customHeight="1">
      <c r="C75" s="46" t="n"/>
    </row>
    <row r="76" ht="12.75" customHeight="1">
      <c r="C76" s="46" t="n"/>
    </row>
    <row r="77" ht="12.75" customHeight="1">
      <c r="C77" s="46" t="n"/>
    </row>
    <row r="78" ht="12.75" customHeight="1">
      <c r="C78" s="46" t="n"/>
    </row>
    <row r="79" ht="12.75" customHeight="1">
      <c r="C79" s="46" t="n"/>
    </row>
    <row r="80" ht="12.75" customHeight="1">
      <c r="C80" s="46" t="n"/>
    </row>
    <row r="81" ht="12.75" customHeight="1">
      <c r="C81" s="46" t="n"/>
    </row>
    <row r="82" ht="12.75" customHeight="1">
      <c r="C82" s="46" t="n"/>
    </row>
    <row r="83" ht="12.75" customHeight="1">
      <c r="C83" s="46" t="n"/>
    </row>
    <row r="84" ht="12.75" customHeight="1">
      <c r="C84" s="46" t="n"/>
    </row>
    <row r="85" ht="12.75" customHeight="1">
      <c r="C85" s="46" t="n"/>
    </row>
    <row r="86" ht="12.75" customHeight="1">
      <c r="C86" s="46" t="n"/>
    </row>
    <row r="87" ht="12.75" customHeight="1">
      <c r="C87" s="46" t="n"/>
    </row>
    <row r="88" ht="12.75" customHeight="1">
      <c r="C88" s="46" t="n"/>
    </row>
    <row r="89" ht="12.75" customHeight="1">
      <c r="C89" s="46" t="n"/>
    </row>
    <row r="90" ht="12.75" customHeight="1">
      <c r="C90" s="46" t="n"/>
    </row>
    <row r="91" ht="12.75" customHeight="1">
      <c r="C91" s="46" t="n"/>
    </row>
    <row r="92" ht="12.75" customHeight="1">
      <c r="C92" s="46" t="n"/>
    </row>
    <row r="93" ht="12.75" customHeight="1">
      <c r="C93" s="46" t="n"/>
    </row>
    <row r="94" ht="12.75" customHeight="1">
      <c r="C94" s="46" t="n"/>
    </row>
    <row r="95" ht="12.75" customHeight="1">
      <c r="C95" s="46" t="n"/>
    </row>
    <row r="96" ht="12.75" customHeight="1">
      <c r="C96" s="46" t="n"/>
    </row>
    <row r="97" ht="12.75" customHeight="1">
      <c r="C97" s="46" t="n"/>
    </row>
    <row r="98" ht="12.75" customHeight="1">
      <c r="C98" s="46" t="n"/>
    </row>
    <row r="99" ht="12.75" customHeight="1">
      <c r="C99" s="46" t="n"/>
    </row>
    <row r="100" ht="12.75" customHeight="1">
      <c r="C100" s="46" t="n"/>
    </row>
    <row r="101" ht="12.75" customHeight="1">
      <c r="C101" s="46" t="n"/>
    </row>
    <row r="102" ht="12.75" customHeight="1">
      <c r="C102" s="46" t="n"/>
    </row>
    <row r="103" ht="12.75" customHeight="1">
      <c r="C103" s="46" t="n"/>
    </row>
    <row r="104" ht="12.75" customHeight="1">
      <c r="C104" s="46" t="n"/>
    </row>
    <row r="105" ht="12.75" customHeight="1">
      <c r="C105" s="46" t="n"/>
    </row>
    <row r="106" ht="12.75" customHeight="1">
      <c r="C106" s="46" t="n"/>
    </row>
    <row r="107" ht="12.75" customHeight="1">
      <c r="C107" s="46" t="n"/>
    </row>
    <row r="108" ht="12.75" customHeight="1">
      <c r="C108" s="46" t="n"/>
    </row>
    <row r="109" ht="12.75" customHeight="1">
      <c r="C109" s="46" t="n"/>
    </row>
    <row r="110" ht="12.75" customHeight="1">
      <c r="C110" s="46" t="n"/>
    </row>
    <row r="111" ht="12.75" customHeight="1">
      <c r="C111" s="46" t="n"/>
    </row>
    <row r="112" ht="12.75" customHeight="1">
      <c r="C112" s="46" t="n"/>
    </row>
    <row r="113" ht="12.75" customHeight="1">
      <c r="C113" s="46" t="n"/>
    </row>
    <row r="114" ht="12.75" customHeight="1">
      <c r="C114" s="46" t="n"/>
    </row>
    <row r="115" ht="12.75" customHeight="1">
      <c r="C115" s="46" t="n"/>
    </row>
    <row r="116" ht="12.75" customHeight="1">
      <c r="C116" s="46" t="n"/>
    </row>
    <row r="117" ht="12.75" customHeight="1">
      <c r="C117" s="46" t="n"/>
    </row>
    <row r="118" ht="12.75" customHeight="1">
      <c r="C118" s="46" t="n"/>
    </row>
    <row r="119" ht="12.75" customHeight="1">
      <c r="C119" s="46" t="n"/>
    </row>
    <row r="120" ht="12.75" customHeight="1">
      <c r="C120" s="46" t="n"/>
    </row>
    <row r="121" ht="12.75" customHeight="1">
      <c r="C121" s="46" t="n"/>
    </row>
    <row r="122" ht="12.75" customHeight="1">
      <c r="C122" s="46" t="n"/>
    </row>
    <row r="123" ht="12.75" customHeight="1">
      <c r="C123" s="46" t="n"/>
    </row>
    <row r="124" ht="12.75" customHeight="1">
      <c r="C124" s="46" t="n"/>
    </row>
    <row r="125" ht="12.75" customHeight="1">
      <c r="C125" s="46" t="n"/>
    </row>
    <row r="126" ht="12.75" customHeight="1">
      <c r="C126" s="46" t="n"/>
    </row>
    <row r="127" ht="12.75" customHeight="1">
      <c r="C127" s="46" t="n"/>
    </row>
    <row r="128" ht="12.75" customHeight="1">
      <c r="C128" s="46" t="n"/>
    </row>
    <row r="129" ht="12.75" customHeight="1">
      <c r="C129" s="46" t="n"/>
    </row>
    <row r="130" ht="12.75" customHeight="1">
      <c r="C130" s="46" t="n"/>
    </row>
    <row r="131" ht="12.75" customHeight="1">
      <c r="C131" s="46" t="n"/>
    </row>
    <row r="132" ht="12.75" customHeight="1">
      <c r="C132" s="46" t="n"/>
    </row>
    <row r="133" ht="12.75" customHeight="1">
      <c r="C133" s="46" t="n"/>
    </row>
    <row r="134" ht="12.75" customHeight="1">
      <c r="C134" s="46" t="n"/>
    </row>
    <row r="135" ht="12.75" customHeight="1">
      <c r="C135" s="46" t="n"/>
    </row>
    <row r="136" ht="12.75" customHeight="1">
      <c r="C136" s="46" t="n"/>
    </row>
    <row r="137" ht="12.75" customHeight="1">
      <c r="C137" s="46" t="n"/>
    </row>
    <row r="138" ht="12.75" customHeight="1">
      <c r="C138" s="46" t="n"/>
    </row>
    <row r="139" ht="12.75" customHeight="1">
      <c r="C139" s="46" t="n"/>
    </row>
    <row r="140" ht="12.75" customHeight="1">
      <c r="C140" s="46" t="n"/>
    </row>
    <row r="141" ht="12.75" customHeight="1">
      <c r="C141" s="46" t="n"/>
    </row>
    <row r="142" ht="12.75" customHeight="1">
      <c r="C142" s="46" t="n"/>
    </row>
    <row r="143" ht="12.75" customHeight="1">
      <c r="C143" s="46" t="n"/>
    </row>
    <row r="144" ht="12.75" customHeight="1">
      <c r="C144" s="46" t="n"/>
    </row>
    <row r="145" ht="12.75" customHeight="1">
      <c r="C145" s="46" t="n"/>
    </row>
    <row r="146" ht="12.75" customHeight="1">
      <c r="C146" s="46" t="n"/>
    </row>
    <row r="147" ht="12.75" customHeight="1">
      <c r="C147" s="46" t="n"/>
    </row>
    <row r="148" ht="12.75" customHeight="1">
      <c r="C148" s="46" t="n"/>
    </row>
    <row r="149" ht="12.75" customHeight="1">
      <c r="C149" s="46" t="n"/>
    </row>
    <row r="150" ht="12.75" customHeight="1">
      <c r="C150" s="46" t="n"/>
    </row>
    <row r="151" ht="12.75" customHeight="1">
      <c r="C151" s="46" t="n"/>
    </row>
    <row r="152" ht="12.75" customHeight="1">
      <c r="C152" s="46" t="n"/>
    </row>
    <row r="153" ht="12.75" customHeight="1">
      <c r="C153" s="46" t="n"/>
    </row>
    <row r="154" ht="12.75" customHeight="1">
      <c r="C154" s="46" t="n"/>
    </row>
    <row r="155" ht="12.75" customHeight="1">
      <c r="C155" s="46" t="n"/>
    </row>
    <row r="156" ht="12.75" customHeight="1">
      <c r="C156" s="46" t="n"/>
    </row>
    <row r="157" ht="12.75" customHeight="1">
      <c r="C157" s="46" t="n"/>
    </row>
    <row r="158" ht="12.75" customHeight="1">
      <c r="C158" s="46" t="n"/>
    </row>
    <row r="159" ht="12.75" customHeight="1">
      <c r="C159" s="46" t="n"/>
    </row>
    <row r="160" ht="12.75" customHeight="1">
      <c r="C160" s="46" t="n"/>
    </row>
    <row r="161" ht="12.75" customHeight="1">
      <c r="C161" s="46" t="n"/>
    </row>
    <row r="162" ht="12.75" customHeight="1">
      <c r="C162" s="46" t="n"/>
    </row>
    <row r="163" ht="12.75" customHeight="1">
      <c r="C163" s="46" t="n"/>
    </row>
    <row r="164" ht="12.75" customHeight="1">
      <c r="C164" s="46" t="n"/>
    </row>
    <row r="165" ht="12.75" customHeight="1">
      <c r="C165" s="46" t="n"/>
    </row>
    <row r="166" ht="12.75" customHeight="1">
      <c r="C166" s="46" t="n"/>
    </row>
    <row r="167" ht="12.75" customHeight="1">
      <c r="C167" s="46" t="n"/>
    </row>
    <row r="168" ht="12.75" customHeight="1">
      <c r="C168" s="46" t="n"/>
    </row>
    <row r="169" ht="12.75" customHeight="1">
      <c r="C169" s="46" t="n"/>
    </row>
    <row r="170" ht="12.75" customHeight="1">
      <c r="C170" s="46" t="n"/>
    </row>
    <row r="171" ht="12.75" customHeight="1">
      <c r="C171" s="46" t="n"/>
    </row>
    <row r="172" ht="12.75" customHeight="1">
      <c r="C172" s="46" t="n"/>
    </row>
    <row r="173" ht="12.75" customHeight="1">
      <c r="C173" s="46" t="n"/>
    </row>
    <row r="174" ht="12.75" customHeight="1">
      <c r="C174" s="46" t="n"/>
    </row>
    <row r="175" ht="12.75" customHeight="1">
      <c r="C175" s="46" t="n"/>
    </row>
    <row r="176" ht="12.75" customHeight="1">
      <c r="C176" s="46" t="n"/>
    </row>
    <row r="177" ht="12.75" customHeight="1">
      <c r="C177" s="46" t="n"/>
    </row>
    <row r="178" ht="12.75" customHeight="1">
      <c r="C178" s="46" t="n"/>
    </row>
    <row r="179" ht="12.75" customHeight="1">
      <c r="C179" s="46" t="n"/>
    </row>
    <row r="180" ht="12.75" customHeight="1">
      <c r="C180" s="46" t="n"/>
    </row>
    <row r="181" ht="12.75" customHeight="1">
      <c r="C181" s="46" t="n"/>
    </row>
    <row r="182" ht="12.75" customHeight="1">
      <c r="C182" s="46" t="n"/>
    </row>
    <row r="183" ht="12.75" customHeight="1">
      <c r="C183" s="46" t="n"/>
    </row>
    <row r="184" ht="12.75" customHeight="1">
      <c r="C184" s="46" t="n"/>
    </row>
    <row r="185" ht="12.75" customHeight="1">
      <c r="C185" s="46" t="n"/>
    </row>
    <row r="186" ht="12.75" customHeight="1">
      <c r="C186" s="46" t="n"/>
    </row>
    <row r="187" ht="12.75" customHeight="1">
      <c r="C187" s="46" t="n"/>
    </row>
    <row r="188" ht="12.75" customHeight="1">
      <c r="C188" s="46" t="n"/>
    </row>
    <row r="189" ht="12.75" customHeight="1">
      <c r="C189" s="46" t="n"/>
    </row>
    <row r="190" ht="12.75" customHeight="1">
      <c r="C190" s="46" t="n"/>
    </row>
    <row r="191" ht="12.75" customHeight="1">
      <c r="C191" s="46" t="n"/>
    </row>
    <row r="192" ht="12.75" customHeight="1">
      <c r="C192" s="46" t="n"/>
    </row>
    <row r="193" ht="12.75" customHeight="1">
      <c r="C193" s="46" t="n"/>
    </row>
    <row r="194" ht="12.75" customHeight="1">
      <c r="C194" s="46" t="n"/>
    </row>
    <row r="195" ht="12.75" customHeight="1">
      <c r="C195" s="46" t="n"/>
    </row>
    <row r="196" ht="12.75" customHeight="1">
      <c r="C196" s="46" t="n"/>
    </row>
    <row r="197" ht="12.75" customHeight="1">
      <c r="C197" s="46" t="n"/>
    </row>
    <row r="198" ht="12.75" customHeight="1">
      <c r="C198" s="46" t="n"/>
    </row>
    <row r="199" ht="12.75" customHeight="1">
      <c r="C199" s="46" t="n"/>
    </row>
    <row r="200" ht="12.75" customHeight="1">
      <c r="C200" s="46" t="n"/>
    </row>
    <row r="201" ht="12.75" customHeight="1">
      <c r="C201" s="46" t="n"/>
    </row>
    <row r="202" ht="12.75" customHeight="1">
      <c r="C202" s="46" t="n"/>
    </row>
    <row r="203" ht="12.75" customHeight="1">
      <c r="C203" s="46" t="n"/>
    </row>
    <row r="204" ht="12.75" customHeight="1">
      <c r="C204" s="46" t="n"/>
    </row>
    <row r="205" ht="12.75" customHeight="1">
      <c r="C205" s="46" t="n"/>
    </row>
    <row r="206" ht="12.75" customHeight="1">
      <c r="C206" s="46" t="n"/>
    </row>
    <row r="207" ht="12.75" customHeight="1">
      <c r="C207" s="46" t="n"/>
    </row>
    <row r="208" ht="12.75" customHeight="1">
      <c r="C208" s="46" t="n"/>
    </row>
    <row r="209" ht="12.75" customHeight="1">
      <c r="C209" s="46" t="n"/>
    </row>
    <row r="210" ht="12.75" customHeight="1">
      <c r="C210" s="46" t="n"/>
    </row>
    <row r="211" ht="12.75" customHeight="1">
      <c r="C211" s="46" t="n"/>
    </row>
    <row r="212" ht="12.75" customHeight="1">
      <c r="C212" s="46" t="n"/>
    </row>
    <row r="213" ht="12.75" customHeight="1">
      <c r="C213" s="46" t="n"/>
    </row>
    <row r="214" ht="12.75" customHeight="1">
      <c r="C214" s="46" t="n"/>
    </row>
    <row r="215" ht="12.75" customHeight="1">
      <c r="C215" s="46" t="n"/>
    </row>
    <row r="216" ht="12.75" customHeight="1">
      <c r="C216" s="46" t="n"/>
    </row>
    <row r="217" ht="12.75" customHeight="1">
      <c r="C217" s="46" t="n"/>
    </row>
    <row r="218" ht="12.75" customHeight="1">
      <c r="C218" s="46" t="n"/>
    </row>
    <row r="219" ht="12.75" customHeight="1">
      <c r="C219" s="46" t="n"/>
    </row>
    <row r="220" ht="12.75" customHeight="1">
      <c r="C220" s="46" t="n"/>
    </row>
    <row r="221" ht="12.75" customHeight="1">
      <c r="C221" s="46" t="n"/>
    </row>
    <row r="222" ht="12.75" customHeight="1">
      <c r="C222" s="46" t="n"/>
    </row>
    <row r="223" ht="12.75" customHeight="1">
      <c r="C223" s="46" t="n"/>
    </row>
    <row r="224" ht="12.75" customHeight="1">
      <c r="C224" s="46" t="n"/>
    </row>
    <row r="225" ht="12.75" customHeight="1">
      <c r="C225" s="46" t="n"/>
    </row>
    <row r="226" ht="12.75" customHeight="1">
      <c r="C226" s="46" t="n"/>
    </row>
    <row r="227" ht="12.75" customHeight="1">
      <c r="C227" s="46" t="n"/>
    </row>
    <row r="228" ht="12.75" customHeight="1">
      <c r="C228" s="46" t="n"/>
    </row>
    <row r="229" ht="12.75" customHeight="1">
      <c r="C229" s="46" t="n"/>
    </row>
    <row r="230" ht="12.75" customHeight="1">
      <c r="C230" s="46" t="n"/>
    </row>
    <row r="231" ht="12.75" customHeight="1">
      <c r="C231" s="46" t="n"/>
    </row>
    <row r="232" ht="12.75" customHeight="1">
      <c r="C232" s="46" t="n"/>
    </row>
    <row r="233" ht="12.75" customHeight="1">
      <c r="C233" s="46" t="n"/>
    </row>
    <row r="234" ht="12.75" customHeight="1">
      <c r="C234" s="46" t="n"/>
    </row>
    <row r="235" ht="12.75" customHeight="1">
      <c r="C235" s="46" t="n"/>
    </row>
    <row r="236" ht="12.75" customHeight="1">
      <c r="C236" s="46" t="n"/>
    </row>
    <row r="237" ht="12.75" customHeight="1">
      <c r="C237" s="46" t="n"/>
    </row>
    <row r="238" ht="12.75" customHeight="1">
      <c r="C238" s="46" t="n"/>
    </row>
    <row r="239" ht="12.75" customHeight="1">
      <c r="C239" s="46" t="n"/>
    </row>
    <row r="240" ht="12.75" customHeight="1">
      <c r="C240" s="46" t="n"/>
    </row>
    <row r="241" ht="12.75" customHeight="1">
      <c r="C241" s="46" t="n"/>
    </row>
    <row r="242" ht="12.75" customHeight="1">
      <c r="C242" s="46" t="n"/>
    </row>
    <row r="243" ht="12.75" customHeight="1">
      <c r="C243" s="46" t="n"/>
    </row>
    <row r="244" ht="12.75" customHeight="1">
      <c r="C244" s="46" t="n"/>
    </row>
    <row r="245" ht="12.75" customHeight="1">
      <c r="C245" s="46" t="n"/>
    </row>
    <row r="246" ht="12.75" customHeight="1">
      <c r="C246" s="46" t="n"/>
    </row>
    <row r="247" ht="12.75" customHeight="1">
      <c r="C247" s="46" t="n"/>
    </row>
    <row r="248" ht="12.75" customHeight="1">
      <c r="C248" s="46" t="n"/>
    </row>
    <row r="249" ht="12.75" customHeight="1">
      <c r="C249" s="46" t="n"/>
    </row>
    <row r="250" ht="12.75" customHeight="1">
      <c r="C250" s="46" t="n"/>
    </row>
    <row r="251" ht="12.75" customHeight="1">
      <c r="C251" s="46" t="n"/>
    </row>
    <row r="252" ht="12.75" customHeight="1">
      <c r="C252" s="46" t="n"/>
    </row>
    <row r="253" ht="12.75" customHeight="1">
      <c r="C253" s="46" t="n"/>
    </row>
    <row r="254" ht="12.75" customHeight="1">
      <c r="C254" s="46" t="n"/>
    </row>
    <row r="255" ht="12.75" customHeight="1">
      <c r="C255" s="46" t="n"/>
    </row>
    <row r="256" ht="12.75" customHeight="1">
      <c r="C256" s="46" t="n"/>
    </row>
    <row r="257" ht="12.75" customHeight="1">
      <c r="C257" s="46" t="n"/>
    </row>
    <row r="258" ht="12.75" customHeight="1">
      <c r="C258" s="46" t="n"/>
    </row>
    <row r="259" ht="12.75" customHeight="1">
      <c r="C259" s="46" t="n"/>
    </row>
    <row r="260" ht="12.75" customHeight="1">
      <c r="C260" s="46" t="n"/>
    </row>
    <row r="261" ht="12.75" customHeight="1">
      <c r="C261" s="46" t="n"/>
    </row>
    <row r="262" ht="12.75" customHeight="1">
      <c r="C262" s="46" t="n"/>
    </row>
    <row r="263" ht="12.75" customHeight="1">
      <c r="C263" s="46" t="n"/>
    </row>
    <row r="264" ht="12.75" customHeight="1">
      <c r="C264" s="46" t="n"/>
    </row>
    <row r="265" ht="12.75" customHeight="1">
      <c r="C265" s="46" t="n"/>
    </row>
    <row r="266" ht="12.75" customHeight="1">
      <c r="C266" s="46" t="n"/>
    </row>
    <row r="267" ht="12.75" customHeight="1">
      <c r="C267" s="46" t="n"/>
    </row>
    <row r="268" ht="12.75" customHeight="1">
      <c r="C268" s="46" t="n"/>
    </row>
    <row r="269" ht="12.75" customHeight="1">
      <c r="C269" s="46" t="n"/>
    </row>
    <row r="270" ht="12.75" customHeight="1">
      <c r="C270" s="46" t="n"/>
    </row>
    <row r="271" ht="12.75" customHeight="1">
      <c r="C271" s="46" t="n"/>
    </row>
    <row r="272" ht="12.75" customHeight="1">
      <c r="C272" s="46" t="n"/>
    </row>
    <row r="273" ht="12.75" customHeight="1">
      <c r="C273" s="46" t="n"/>
    </row>
    <row r="274" ht="12.75" customHeight="1">
      <c r="C274" s="46" t="n"/>
    </row>
    <row r="275" ht="12.75" customHeight="1">
      <c r="C275" s="46" t="n"/>
    </row>
    <row r="276" ht="12.75" customHeight="1">
      <c r="C276" s="46" t="n"/>
    </row>
    <row r="277" ht="12.75" customHeight="1">
      <c r="C277" s="46" t="n"/>
    </row>
    <row r="278" ht="12.75" customHeight="1">
      <c r="C278" s="46" t="n"/>
    </row>
    <row r="279" ht="12.75" customHeight="1">
      <c r="C279" s="46" t="n"/>
    </row>
    <row r="280" ht="12.75" customHeight="1">
      <c r="C280" s="46" t="n"/>
    </row>
    <row r="281" ht="12.75" customHeight="1">
      <c r="C281" s="46" t="n"/>
    </row>
    <row r="282" ht="12.75" customHeight="1">
      <c r="C282" s="46" t="n"/>
    </row>
    <row r="283" ht="12.75" customHeight="1">
      <c r="C283" s="46" t="n"/>
    </row>
    <row r="284" ht="12.75" customHeight="1">
      <c r="C284" s="46" t="n"/>
    </row>
    <row r="285" ht="12.75" customHeight="1">
      <c r="C285" s="46" t="n"/>
    </row>
    <row r="286" ht="12.75" customHeight="1">
      <c r="C286" s="46" t="n"/>
    </row>
    <row r="287" ht="12.75" customHeight="1">
      <c r="C287" s="46" t="n"/>
    </row>
    <row r="288" ht="12.75" customHeight="1">
      <c r="C288" s="46" t="n"/>
    </row>
    <row r="289" ht="12.75" customHeight="1">
      <c r="C289" s="46" t="n"/>
    </row>
    <row r="290" ht="12.75" customHeight="1">
      <c r="C290" s="46" t="n"/>
    </row>
    <row r="291" ht="12.75" customHeight="1">
      <c r="C291" s="46" t="n"/>
    </row>
    <row r="292" ht="12.75" customHeight="1">
      <c r="C292" s="46" t="n"/>
    </row>
    <row r="293" ht="12.75" customHeight="1">
      <c r="C293" s="46" t="n"/>
    </row>
    <row r="294" ht="12.75" customHeight="1">
      <c r="C294" s="46" t="n"/>
    </row>
    <row r="295" ht="12.75" customHeight="1">
      <c r="C295" s="46" t="n"/>
    </row>
    <row r="296" ht="12.75" customHeight="1">
      <c r="C296" s="46" t="n"/>
    </row>
    <row r="297" ht="12.75" customHeight="1">
      <c r="C297" s="46" t="n"/>
    </row>
    <row r="298" ht="12.75" customHeight="1">
      <c r="C298" s="46" t="n"/>
    </row>
    <row r="299" ht="12.75" customHeight="1">
      <c r="C299" s="46" t="n"/>
    </row>
    <row r="300" ht="12.75" customHeight="1">
      <c r="C300" s="46" t="n"/>
    </row>
    <row r="301" ht="12.75" customHeight="1">
      <c r="C301" s="46" t="n"/>
    </row>
    <row r="302" ht="12.75" customHeight="1">
      <c r="C302" s="46" t="n"/>
    </row>
    <row r="303" ht="12.75" customHeight="1">
      <c r="C303" s="46" t="n"/>
    </row>
    <row r="304" ht="12.75" customHeight="1">
      <c r="C304" s="46" t="n"/>
    </row>
    <row r="305" ht="12.75" customHeight="1">
      <c r="C305" s="46" t="n"/>
    </row>
    <row r="306" ht="12.75" customHeight="1">
      <c r="C306" s="46" t="n"/>
    </row>
    <row r="307" ht="12.75" customHeight="1">
      <c r="C307" s="46" t="n"/>
    </row>
    <row r="308" ht="12.75" customHeight="1">
      <c r="C308" s="46" t="n"/>
    </row>
    <row r="309" ht="12.75" customHeight="1">
      <c r="C309" s="46" t="n"/>
    </row>
    <row r="310" ht="12.75" customHeight="1">
      <c r="C310" s="46" t="n"/>
    </row>
    <row r="311" ht="12.75" customHeight="1">
      <c r="C311" s="46" t="n"/>
    </row>
    <row r="312" ht="12.75" customHeight="1">
      <c r="C312" s="46" t="n"/>
    </row>
    <row r="313" ht="12.75" customHeight="1">
      <c r="C313" s="46" t="n"/>
    </row>
    <row r="314" ht="12.75" customHeight="1">
      <c r="C314" s="46" t="n"/>
    </row>
    <row r="315" ht="12.75" customHeight="1">
      <c r="C315" s="46" t="n"/>
    </row>
    <row r="316" ht="12.75" customHeight="1">
      <c r="C316" s="46" t="n"/>
    </row>
    <row r="317" ht="12.75" customHeight="1">
      <c r="C317" s="46" t="n"/>
    </row>
    <row r="318" ht="12.75" customHeight="1">
      <c r="C318" s="46" t="n"/>
    </row>
    <row r="319" ht="12.75" customHeight="1">
      <c r="C319" s="46" t="n"/>
    </row>
    <row r="320" ht="12.75" customHeight="1">
      <c r="C320" s="46" t="n"/>
    </row>
    <row r="321" ht="12.75" customHeight="1">
      <c r="C321" s="46" t="n"/>
    </row>
    <row r="322" ht="12.75" customHeight="1">
      <c r="C322" s="46" t="n"/>
    </row>
    <row r="323" ht="12.75" customHeight="1">
      <c r="C323" s="46" t="n"/>
    </row>
    <row r="324" ht="12.75" customHeight="1">
      <c r="C324" s="46" t="n"/>
    </row>
    <row r="325" ht="12.75" customHeight="1">
      <c r="C325" s="46" t="n"/>
    </row>
    <row r="326" ht="12.75" customHeight="1">
      <c r="C326" s="46" t="n"/>
    </row>
    <row r="327" ht="12.75" customHeight="1">
      <c r="C327" s="46" t="n"/>
    </row>
    <row r="328" ht="12.75" customHeight="1">
      <c r="C328" s="46" t="n"/>
    </row>
    <row r="329" ht="12.75" customHeight="1">
      <c r="C329" s="46" t="n"/>
    </row>
    <row r="330" ht="12.75" customHeight="1">
      <c r="C330" s="46" t="n"/>
    </row>
    <row r="331" ht="12.75" customHeight="1">
      <c r="C331" s="46" t="n"/>
    </row>
    <row r="332" ht="12.75" customHeight="1">
      <c r="C332" s="46" t="n"/>
    </row>
    <row r="333" ht="12.75" customHeight="1">
      <c r="C333" s="46" t="n"/>
    </row>
    <row r="334" ht="12.75" customHeight="1">
      <c r="C334" s="46" t="n"/>
    </row>
    <row r="335" ht="12.75" customHeight="1">
      <c r="C335" s="46" t="n"/>
    </row>
    <row r="336" ht="12.75" customHeight="1">
      <c r="C336" s="46" t="n"/>
    </row>
    <row r="337" ht="12.75" customHeight="1">
      <c r="C337" s="46" t="n"/>
    </row>
    <row r="338" ht="12.75" customHeight="1">
      <c r="C338" s="46" t="n"/>
    </row>
    <row r="339" ht="12.75" customHeight="1">
      <c r="C339" s="46" t="n"/>
    </row>
    <row r="340" ht="12.75" customHeight="1">
      <c r="C340" s="46" t="n"/>
    </row>
    <row r="341" ht="12.75" customHeight="1">
      <c r="C341" s="46" t="n"/>
    </row>
    <row r="342" ht="12.75" customHeight="1">
      <c r="C342" s="46" t="n"/>
    </row>
    <row r="343" ht="12.75" customHeight="1">
      <c r="C343" s="46" t="n"/>
    </row>
    <row r="344" ht="12.75" customHeight="1">
      <c r="C344" s="46" t="n"/>
    </row>
    <row r="345" ht="12.75" customHeight="1">
      <c r="C345" s="46" t="n"/>
    </row>
    <row r="346" ht="12.75" customHeight="1">
      <c r="C346" s="46" t="n"/>
    </row>
    <row r="347" ht="12.75" customHeight="1">
      <c r="C347" s="46" t="n"/>
    </row>
    <row r="348" ht="12.75" customHeight="1">
      <c r="C348" s="46" t="n"/>
    </row>
    <row r="349" ht="12.75" customHeight="1">
      <c r="C349" s="46" t="n"/>
    </row>
    <row r="350" ht="12.75" customHeight="1">
      <c r="C350" s="46" t="n"/>
    </row>
    <row r="351" ht="12.75" customHeight="1">
      <c r="C351" s="46" t="n"/>
    </row>
    <row r="352" ht="12.75" customHeight="1">
      <c r="C352" s="46" t="n"/>
    </row>
    <row r="353" ht="12.75" customHeight="1">
      <c r="C353" s="46" t="n"/>
    </row>
    <row r="354" ht="12.75" customHeight="1">
      <c r="C354" s="46" t="n"/>
    </row>
    <row r="355" ht="12.75" customHeight="1">
      <c r="C355" s="46" t="n"/>
    </row>
    <row r="356" ht="12.75" customHeight="1">
      <c r="C356" s="46" t="n"/>
    </row>
    <row r="357" ht="12.75" customHeight="1">
      <c r="C357" s="46" t="n"/>
    </row>
    <row r="358" ht="12.75" customHeight="1">
      <c r="C358" s="46" t="n"/>
    </row>
    <row r="359" ht="12.75" customHeight="1">
      <c r="C359" s="46" t="n"/>
    </row>
    <row r="360" ht="12.75" customHeight="1">
      <c r="C360" s="46" t="n"/>
    </row>
    <row r="361" ht="12.75" customHeight="1">
      <c r="C361" s="46" t="n"/>
    </row>
    <row r="362" ht="12.75" customHeight="1">
      <c r="C362" s="46" t="n"/>
    </row>
    <row r="363" ht="12.75" customHeight="1">
      <c r="C363" s="46" t="n"/>
    </row>
    <row r="364" ht="12.75" customHeight="1">
      <c r="C364" s="46" t="n"/>
    </row>
    <row r="365" ht="12.75" customHeight="1">
      <c r="C365" s="46" t="n"/>
    </row>
    <row r="366" ht="12.75" customHeight="1">
      <c r="C366" s="46" t="n"/>
    </row>
    <row r="367" ht="12.75" customHeight="1">
      <c r="C367" s="46" t="n"/>
    </row>
    <row r="368" ht="12.75" customHeight="1">
      <c r="C368" s="46" t="n"/>
    </row>
    <row r="369" ht="12.75" customHeight="1">
      <c r="C369" s="46" t="n"/>
    </row>
    <row r="370" ht="12.75" customHeight="1">
      <c r="C370" s="46" t="n"/>
    </row>
    <row r="371" ht="12.75" customHeight="1">
      <c r="C371" s="46" t="n"/>
    </row>
    <row r="372" ht="12.75" customHeight="1">
      <c r="C372" s="46" t="n"/>
    </row>
    <row r="373" ht="12.75" customHeight="1">
      <c r="C373" s="46" t="n"/>
    </row>
    <row r="374" ht="12.75" customHeight="1">
      <c r="C374" s="46" t="n"/>
    </row>
    <row r="375" ht="12.75" customHeight="1">
      <c r="C375" s="46" t="n"/>
    </row>
    <row r="376" ht="12.75" customHeight="1">
      <c r="C376" s="46" t="n"/>
    </row>
    <row r="377" ht="12.75" customHeight="1">
      <c r="C377" s="46" t="n"/>
    </row>
    <row r="378" ht="12.75" customHeight="1">
      <c r="C378" s="46" t="n"/>
    </row>
    <row r="379" ht="12.75" customHeight="1">
      <c r="C379" s="46" t="n"/>
    </row>
    <row r="380" ht="12.75" customHeight="1">
      <c r="C380" s="46" t="n"/>
    </row>
    <row r="381" ht="12.75" customHeight="1">
      <c r="C381" s="46" t="n"/>
    </row>
    <row r="382" ht="12.75" customHeight="1">
      <c r="C382" s="46" t="n"/>
    </row>
    <row r="383" ht="12.75" customHeight="1">
      <c r="C383" s="46" t="n"/>
    </row>
    <row r="384" ht="12.75" customHeight="1">
      <c r="C384" s="46" t="n"/>
    </row>
    <row r="385" ht="12.75" customHeight="1">
      <c r="C385" s="46" t="n"/>
    </row>
    <row r="386" ht="12.75" customHeight="1">
      <c r="C386" s="46" t="n"/>
    </row>
    <row r="387" ht="12.75" customHeight="1">
      <c r="C387" s="46" t="n"/>
    </row>
    <row r="388" ht="12.75" customHeight="1">
      <c r="C388" s="46" t="n"/>
    </row>
    <row r="389" ht="12.75" customHeight="1">
      <c r="C389" s="46" t="n"/>
    </row>
    <row r="390" ht="12.75" customHeight="1">
      <c r="C390" s="46" t="n"/>
    </row>
    <row r="391" ht="12.75" customHeight="1">
      <c r="C391" s="46" t="n"/>
    </row>
    <row r="392" ht="12.75" customHeight="1">
      <c r="C392" s="46" t="n"/>
    </row>
    <row r="393" ht="12.75" customHeight="1">
      <c r="C393" s="46" t="n"/>
    </row>
    <row r="394" ht="12.75" customHeight="1">
      <c r="C394" s="46" t="n"/>
    </row>
    <row r="395" ht="12.75" customHeight="1">
      <c r="C395" s="46" t="n"/>
    </row>
    <row r="396" ht="12.75" customHeight="1">
      <c r="C396" s="46" t="n"/>
    </row>
    <row r="397" ht="12.75" customHeight="1">
      <c r="C397" s="46" t="n"/>
    </row>
    <row r="398" ht="12.75" customHeight="1">
      <c r="C398" s="46" t="n"/>
    </row>
    <row r="399" ht="12.75" customHeight="1">
      <c r="C399" s="46" t="n"/>
    </row>
    <row r="400" ht="12.75" customHeight="1">
      <c r="C400" s="46" t="n"/>
    </row>
    <row r="401" ht="12.75" customHeight="1">
      <c r="C401" s="46" t="n"/>
    </row>
    <row r="402" ht="12.75" customHeight="1">
      <c r="C402" s="46" t="n"/>
    </row>
    <row r="403" ht="12.75" customHeight="1">
      <c r="C403" s="46" t="n"/>
    </row>
    <row r="404" ht="12.75" customHeight="1">
      <c r="C404" s="46" t="n"/>
    </row>
    <row r="405" ht="12.75" customHeight="1">
      <c r="C405" s="46" t="n"/>
    </row>
    <row r="406" ht="12.75" customHeight="1">
      <c r="C406" s="46" t="n"/>
    </row>
    <row r="407" ht="12.75" customHeight="1">
      <c r="C407" s="46" t="n"/>
    </row>
    <row r="408" ht="12.75" customHeight="1">
      <c r="C408" s="46" t="n"/>
    </row>
    <row r="409" ht="12.75" customHeight="1">
      <c r="C409" s="46" t="n"/>
    </row>
    <row r="410" ht="12.75" customHeight="1">
      <c r="C410" s="46" t="n"/>
    </row>
    <row r="411" ht="12.75" customHeight="1">
      <c r="C411" s="46" t="n"/>
    </row>
    <row r="412" ht="12.75" customHeight="1">
      <c r="C412" s="46" t="n"/>
    </row>
    <row r="413" ht="12.75" customHeight="1">
      <c r="C413" s="46" t="n"/>
    </row>
    <row r="414" ht="12.75" customHeight="1">
      <c r="C414" s="46" t="n"/>
    </row>
    <row r="415" ht="12.75" customHeight="1">
      <c r="C415" s="46" t="n"/>
    </row>
    <row r="416" ht="12.75" customHeight="1">
      <c r="C416" s="46" t="n"/>
    </row>
    <row r="417" ht="12.75" customHeight="1">
      <c r="C417" s="46" t="n"/>
    </row>
    <row r="418" ht="12.75" customHeight="1">
      <c r="C418" s="46" t="n"/>
    </row>
    <row r="419" ht="12.75" customHeight="1">
      <c r="C419" s="46" t="n"/>
    </row>
    <row r="420" ht="12.75" customHeight="1">
      <c r="C420" s="46" t="n"/>
    </row>
    <row r="421" ht="12.75" customHeight="1">
      <c r="C421" s="46" t="n"/>
    </row>
    <row r="422" ht="12.75" customHeight="1">
      <c r="C422" s="46" t="n"/>
    </row>
    <row r="423" ht="12.75" customHeight="1">
      <c r="C423" s="46" t="n"/>
    </row>
    <row r="424" ht="12.75" customHeight="1">
      <c r="C424" s="46" t="n"/>
    </row>
    <row r="425" ht="12.75" customHeight="1">
      <c r="C425" s="46" t="n"/>
    </row>
    <row r="426" ht="12.75" customHeight="1">
      <c r="C426" s="46" t="n"/>
    </row>
    <row r="427" ht="12.75" customHeight="1">
      <c r="C427" s="46" t="n"/>
    </row>
    <row r="428" ht="12.75" customHeight="1">
      <c r="C428" s="46" t="n"/>
    </row>
    <row r="429" ht="12.75" customHeight="1">
      <c r="C429" s="46" t="n"/>
    </row>
    <row r="430" ht="12.75" customHeight="1">
      <c r="C430" s="46" t="n"/>
    </row>
    <row r="431" ht="12.75" customHeight="1">
      <c r="C431" s="46" t="n"/>
    </row>
    <row r="432" ht="12.75" customHeight="1">
      <c r="C432" s="46" t="n"/>
    </row>
    <row r="433" ht="12.75" customHeight="1">
      <c r="C433" s="46" t="n"/>
    </row>
    <row r="434" ht="12.75" customHeight="1">
      <c r="C434" s="46" t="n"/>
    </row>
    <row r="435" ht="12.75" customHeight="1">
      <c r="C435" s="46" t="n"/>
    </row>
    <row r="436" ht="12.75" customHeight="1">
      <c r="C436" s="46" t="n"/>
    </row>
    <row r="437" ht="12.75" customHeight="1">
      <c r="C437" s="46" t="n"/>
    </row>
    <row r="438" ht="12.75" customHeight="1">
      <c r="C438" s="46" t="n"/>
    </row>
    <row r="439" ht="12.75" customHeight="1">
      <c r="C439" s="46" t="n"/>
    </row>
    <row r="440" ht="12.75" customHeight="1">
      <c r="C440" s="46" t="n"/>
    </row>
    <row r="441" ht="12.75" customHeight="1">
      <c r="C441" s="46" t="n"/>
    </row>
    <row r="442" ht="12.75" customHeight="1">
      <c r="C442" s="46" t="n"/>
    </row>
    <row r="443" ht="12.75" customHeight="1">
      <c r="C443" s="46" t="n"/>
    </row>
    <row r="444" ht="12.75" customHeight="1">
      <c r="C444" s="46" t="n"/>
    </row>
    <row r="445" ht="12.75" customHeight="1">
      <c r="C445" s="46" t="n"/>
    </row>
    <row r="446" ht="12.75" customHeight="1">
      <c r="C446" s="46" t="n"/>
    </row>
    <row r="447" ht="12.75" customHeight="1">
      <c r="C447" s="46" t="n"/>
    </row>
    <row r="448" ht="12.75" customHeight="1">
      <c r="C448" s="46" t="n"/>
    </row>
    <row r="449" ht="12.75" customHeight="1">
      <c r="C449" s="46" t="n"/>
    </row>
    <row r="450" ht="12.75" customHeight="1">
      <c r="C450" s="46" t="n"/>
    </row>
    <row r="451" ht="12.75" customHeight="1">
      <c r="C451" s="46" t="n"/>
    </row>
    <row r="452" ht="12.75" customHeight="1">
      <c r="C452" s="46" t="n"/>
    </row>
    <row r="453" ht="12.75" customHeight="1">
      <c r="C453" s="46" t="n"/>
    </row>
    <row r="454" ht="12.75" customHeight="1">
      <c r="C454" s="46" t="n"/>
    </row>
    <row r="455" ht="12.75" customHeight="1">
      <c r="C455" s="46" t="n"/>
    </row>
    <row r="456" ht="12.75" customHeight="1">
      <c r="C456" s="46" t="n"/>
    </row>
    <row r="457" ht="12.75" customHeight="1">
      <c r="C457" s="46" t="n"/>
    </row>
    <row r="458" ht="12.75" customHeight="1">
      <c r="C458" s="46" t="n"/>
    </row>
    <row r="459" ht="12.75" customHeight="1">
      <c r="C459" s="46" t="n"/>
    </row>
    <row r="460" ht="12.75" customHeight="1">
      <c r="C460" s="46" t="n"/>
    </row>
    <row r="461" ht="12.75" customHeight="1">
      <c r="C461" s="46" t="n"/>
    </row>
    <row r="462" ht="12.75" customHeight="1">
      <c r="C462" s="46" t="n"/>
    </row>
    <row r="463" ht="12.75" customHeight="1">
      <c r="C463" s="46" t="n"/>
    </row>
    <row r="464" ht="12.75" customHeight="1">
      <c r="C464" s="46" t="n"/>
    </row>
    <row r="465" ht="12.75" customHeight="1">
      <c r="C465" s="46" t="n"/>
    </row>
    <row r="466" ht="12.75" customHeight="1">
      <c r="C466" s="46" t="n"/>
    </row>
    <row r="467" ht="12.75" customHeight="1">
      <c r="C467" s="46" t="n"/>
    </row>
    <row r="468" ht="12.75" customHeight="1">
      <c r="C468" s="46" t="n"/>
    </row>
    <row r="469" ht="12.75" customHeight="1">
      <c r="C469" s="46" t="n"/>
    </row>
    <row r="470" ht="12.75" customHeight="1">
      <c r="C470" s="46" t="n"/>
    </row>
    <row r="471" ht="12.75" customHeight="1">
      <c r="C471" s="46" t="n"/>
    </row>
    <row r="472" ht="12.75" customHeight="1">
      <c r="C472" s="46" t="n"/>
    </row>
    <row r="473" ht="12.75" customHeight="1">
      <c r="C473" s="46" t="n"/>
    </row>
    <row r="474" ht="12.75" customHeight="1">
      <c r="C474" s="46" t="n"/>
    </row>
    <row r="475" ht="12.75" customHeight="1">
      <c r="C475" s="46" t="n"/>
    </row>
    <row r="476" ht="12.75" customHeight="1">
      <c r="C476" s="46" t="n"/>
    </row>
    <row r="477" ht="12.75" customHeight="1">
      <c r="C477" s="46" t="n"/>
    </row>
    <row r="478" ht="12.75" customHeight="1">
      <c r="C478" s="46" t="n"/>
    </row>
    <row r="479" ht="12.75" customHeight="1">
      <c r="C479" s="46" t="n"/>
    </row>
    <row r="480" ht="12.75" customHeight="1">
      <c r="C480" s="46" t="n"/>
    </row>
    <row r="481" ht="12.75" customHeight="1">
      <c r="C481" s="46" t="n"/>
    </row>
    <row r="482" ht="12.75" customHeight="1">
      <c r="C482" s="46" t="n"/>
    </row>
    <row r="483" ht="12.75" customHeight="1">
      <c r="C483" s="46" t="n"/>
    </row>
    <row r="484" ht="12.75" customHeight="1">
      <c r="C484" s="46" t="n"/>
    </row>
    <row r="485" ht="12.75" customHeight="1">
      <c r="C485" s="46" t="n"/>
    </row>
    <row r="486" ht="12.75" customHeight="1">
      <c r="C486" s="46" t="n"/>
    </row>
    <row r="487" ht="12.75" customHeight="1">
      <c r="C487" s="46" t="n"/>
    </row>
    <row r="488" ht="12.75" customHeight="1">
      <c r="C488" s="46" t="n"/>
    </row>
    <row r="489" ht="12.75" customHeight="1">
      <c r="C489" s="46" t="n"/>
    </row>
    <row r="490" ht="12.75" customHeight="1">
      <c r="C490" s="46" t="n"/>
    </row>
    <row r="491" ht="12.75" customHeight="1">
      <c r="C491" s="46" t="n"/>
    </row>
    <row r="492" ht="12.75" customHeight="1">
      <c r="C492" s="46" t="n"/>
    </row>
    <row r="493" ht="12.75" customHeight="1">
      <c r="C493" s="46" t="n"/>
    </row>
    <row r="494" ht="12.75" customHeight="1">
      <c r="C494" s="46" t="n"/>
    </row>
    <row r="495" ht="12.75" customHeight="1">
      <c r="C495" s="46" t="n"/>
    </row>
    <row r="496" ht="12.75" customHeight="1">
      <c r="C496" s="46" t="n"/>
    </row>
    <row r="497" ht="12.75" customHeight="1">
      <c r="C497" s="46" t="n"/>
    </row>
    <row r="498" ht="12.75" customHeight="1">
      <c r="C498" s="46" t="n"/>
    </row>
    <row r="499" ht="12.75" customHeight="1">
      <c r="C499" s="46" t="n"/>
    </row>
    <row r="500" ht="12.75" customHeight="1">
      <c r="C500" s="46" t="n"/>
    </row>
    <row r="501" ht="12.75" customHeight="1">
      <c r="C501" s="46" t="n"/>
    </row>
    <row r="502" ht="12.75" customHeight="1">
      <c r="C502" s="46" t="n"/>
    </row>
    <row r="503" ht="12.75" customHeight="1">
      <c r="C503" s="46" t="n"/>
    </row>
    <row r="504" ht="12.75" customHeight="1">
      <c r="C504" s="46" t="n"/>
    </row>
    <row r="505" ht="12.75" customHeight="1">
      <c r="C505" s="46" t="n"/>
    </row>
    <row r="506" ht="12.75" customHeight="1">
      <c r="C506" s="46" t="n"/>
    </row>
    <row r="507" ht="12.75" customHeight="1">
      <c r="C507" s="46" t="n"/>
    </row>
    <row r="508" ht="12.75" customHeight="1">
      <c r="C508" s="46" t="n"/>
    </row>
    <row r="509" ht="12.75" customHeight="1">
      <c r="C509" s="46" t="n"/>
    </row>
    <row r="510" ht="12.75" customHeight="1">
      <c r="C510" s="46" t="n"/>
    </row>
    <row r="511" ht="12.75" customHeight="1">
      <c r="C511" s="46" t="n"/>
    </row>
    <row r="512" ht="12.75" customHeight="1">
      <c r="C512" s="46" t="n"/>
    </row>
    <row r="513" ht="12.75" customHeight="1">
      <c r="C513" s="46" t="n"/>
    </row>
    <row r="514" ht="12.75" customHeight="1">
      <c r="C514" s="46" t="n"/>
    </row>
    <row r="515" ht="12.75" customHeight="1">
      <c r="C515" s="46" t="n"/>
    </row>
    <row r="516" ht="12.75" customHeight="1">
      <c r="C516" s="46" t="n"/>
    </row>
    <row r="517" ht="12.75" customHeight="1">
      <c r="C517" s="46" t="n"/>
    </row>
    <row r="518" ht="12.75" customHeight="1">
      <c r="C518" s="46" t="n"/>
    </row>
    <row r="519" ht="12.75" customHeight="1">
      <c r="C519" s="46" t="n"/>
    </row>
    <row r="520" ht="12.75" customHeight="1">
      <c r="C520" s="46" t="n"/>
    </row>
    <row r="521" ht="12.75" customHeight="1">
      <c r="C521" s="46" t="n"/>
    </row>
    <row r="522" ht="12.75" customHeight="1">
      <c r="C522" s="46" t="n"/>
    </row>
    <row r="523" ht="12.75" customHeight="1">
      <c r="C523" s="46" t="n"/>
    </row>
    <row r="524" ht="12.75" customHeight="1">
      <c r="C524" s="46" t="n"/>
    </row>
    <row r="525" ht="12.75" customHeight="1">
      <c r="C525" s="46" t="n"/>
    </row>
    <row r="526" ht="12.75" customHeight="1">
      <c r="C526" s="46" t="n"/>
    </row>
    <row r="527" ht="12.75" customHeight="1">
      <c r="C527" s="46" t="n"/>
    </row>
    <row r="528" ht="12.75" customHeight="1">
      <c r="C528" s="46" t="n"/>
    </row>
    <row r="529" ht="12.75" customHeight="1">
      <c r="C529" s="46" t="n"/>
    </row>
    <row r="530" ht="12.75" customHeight="1">
      <c r="C530" s="46" t="n"/>
    </row>
    <row r="531" ht="12.75" customHeight="1">
      <c r="C531" s="46" t="n"/>
    </row>
    <row r="532" ht="12.75" customHeight="1">
      <c r="C532" s="46" t="n"/>
    </row>
    <row r="533" ht="12.75" customHeight="1">
      <c r="C533" s="46" t="n"/>
    </row>
    <row r="534" ht="12.75" customHeight="1">
      <c r="C534" s="46" t="n"/>
    </row>
    <row r="535" ht="12.75" customHeight="1">
      <c r="C535" s="46" t="n"/>
    </row>
    <row r="536" ht="12.75" customHeight="1">
      <c r="C536" s="46" t="n"/>
    </row>
    <row r="537" ht="12.75" customHeight="1">
      <c r="C537" s="46" t="n"/>
    </row>
    <row r="538" ht="12.75" customHeight="1">
      <c r="C538" s="46" t="n"/>
    </row>
    <row r="539" ht="12.75" customHeight="1">
      <c r="C539" s="46" t="n"/>
    </row>
    <row r="540" ht="12.75" customHeight="1">
      <c r="C540" s="46" t="n"/>
    </row>
    <row r="541" ht="12.75" customHeight="1">
      <c r="C541" s="46" t="n"/>
    </row>
    <row r="542" ht="12.75" customHeight="1">
      <c r="C542" s="46" t="n"/>
    </row>
    <row r="543" ht="12.75" customHeight="1">
      <c r="C543" s="46" t="n"/>
    </row>
    <row r="544" ht="12.75" customHeight="1">
      <c r="C544" s="46" t="n"/>
    </row>
    <row r="545" ht="12.75" customHeight="1">
      <c r="C545" s="46" t="n"/>
    </row>
    <row r="546" ht="12.75" customHeight="1">
      <c r="C546" s="46" t="n"/>
    </row>
    <row r="547" ht="12.75" customHeight="1">
      <c r="C547" s="46" t="n"/>
    </row>
    <row r="548" ht="12.75" customHeight="1">
      <c r="C548" s="46" t="n"/>
    </row>
    <row r="549" ht="12.75" customHeight="1">
      <c r="C549" s="46" t="n"/>
    </row>
    <row r="550" ht="12.75" customHeight="1">
      <c r="C550" s="46" t="n"/>
    </row>
    <row r="551" ht="12.75" customHeight="1">
      <c r="C551" s="46" t="n"/>
    </row>
    <row r="552" ht="12.75" customHeight="1">
      <c r="C552" s="46" t="n"/>
    </row>
    <row r="553" ht="12.75" customHeight="1">
      <c r="C553" s="46" t="n"/>
    </row>
    <row r="554" ht="12.75" customHeight="1">
      <c r="C554" s="46" t="n"/>
    </row>
    <row r="555" ht="12.75" customHeight="1">
      <c r="C555" s="46" t="n"/>
    </row>
    <row r="556" ht="12.75" customHeight="1">
      <c r="C556" s="46" t="n"/>
    </row>
    <row r="557" ht="12.75" customHeight="1">
      <c r="C557" s="46" t="n"/>
    </row>
    <row r="558" ht="12.75" customHeight="1">
      <c r="C558" s="46" t="n"/>
    </row>
    <row r="559" ht="12.75" customHeight="1">
      <c r="C559" s="46" t="n"/>
    </row>
    <row r="560" ht="12.75" customHeight="1">
      <c r="C560" s="46" t="n"/>
    </row>
    <row r="561" ht="12.75" customHeight="1">
      <c r="C561" s="46" t="n"/>
    </row>
    <row r="562" ht="12.75" customHeight="1">
      <c r="C562" s="46" t="n"/>
    </row>
    <row r="563" ht="12.75" customHeight="1">
      <c r="C563" s="46" t="n"/>
    </row>
    <row r="564" ht="12.75" customHeight="1">
      <c r="C564" s="46" t="n"/>
    </row>
    <row r="565" ht="12.75" customHeight="1">
      <c r="C565" s="46" t="n"/>
    </row>
    <row r="566" ht="12.75" customHeight="1">
      <c r="C566" s="46" t="n"/>
    </row>
    <row r="567" ht="12.75" customHeight="1">
      <c r="C567" s="46" t="n"/>
    </row>
    <row r="568" ht="12.75" customHeight="1">
      <c r="C568" s="46" t="n"/>
    </row>
    <row r="569" ht="12.75" customHeight="1">
      <c r="C569" s="46" t="n"/>
    </row>
    <row r="570" ht="12.75" customHeight="1">
      <c r="C570" s="46" t="n"/>
    </row>
    <row r="571" ht="12.75" customHeight="1">
      <c r="C571" s="46" t="n"/>
    </row>
    <row r="572" ht="12.75" customHeight="1">
      <c r="C572" s="46" t="n"/>
    </row>
    <row r="573" ht="12.75" customHeight="1">
      <c r="C573" s="46" t="n"/>
    </row>
    <row r="574" ht="12.75" customHeight="1">
      <c r="C574" s="46" t="n"/>
    </row>
    <row r="575" ht="12.75" customHeight="1">
      <c r="C575" s="46" t="n"/>
    </row>
    <row r="576" ht="12.75" customHeight="1">
      <c r="C576" s="46" t="n"/>
    </row>
    <row r="577" ht="12.75" customHeight="1">
      <c r="C577" s="46" t="n"/>
    </row>
    <row r="578" ht="12.75" customHeight="1">
      <c r="C578" s="46" t="n"/>
    </row>
    <row r="579" ht="12.75" customHeight="1">
      <c r="C579" s="46" t="n"/>
    </row>
    <row r="580" ht="12.75" customHeight="1">
      <c r="C580" s="46" t="n"/>
    </row>
    <row r="581" ht="12.75" customHeight="1">
      <c r="C581" s="46" t="n"/>
    </row>
    <row r="582" ht="12.75" customHeight="1">
      <c r="C582" s="46" t="n"/>
    </row>
    <row r="583" ht="12.75" customHeight="1">
      <c r="C583" s="46" t="n"/>
    </row>
    <row r="584" ht="12.75" customHeight="1">
      <c r="C584" s="46" t="n"/>
    </row>
    <row r="585" ht="12.75" customHeight="1">
      <c r="C585" s="46" t="n"/>
    </row>
    <row r="586" ht="12.75" customHeight="1">
      <c r="C586" s="46" t="n"/>
    </row>
    <row r="587" ht="12.75" customHeight="1">
      <c r="C587" s="46" t="n"/>
    </row>
    <row r="588" ht="12.75" customHeight="1">
      <c r="C588" s="46" t="n"/>
    </row>
    <row r="589" ht="12.75" customHeight="1">
      <c r="C589" s="46" t="n"/>
    </row>
    <row r="590" ht="12.75" customHeight="1">
      <c r="C590" s="46" t="n"/>
    </row>
    <row r="591" ht="12.75" customHeight="1">
      <c r="C591" s="46" t="n"/>
    </row>
    <row r="592" ht="12.75" customHeight="1">
      <c r="C592" s="46" t="n"/>
    </row>
    <row r="593" ht="12.75" customHeight="1">
      <c r="C593" s="46" t="n"/>
    </row>
    <row r="594" ht="12.75" customHeight="1">
      <c r="C594" s="46" t="n"/>
    </row>
    <row r="595" ht="12.75" customHeight="1">
      <c r="C595" s="46" t="n"/>
    </row>
    <row r="596" ht="12.75" customHeight="1">
      <c r="C596" s="46" t="n"/>
    </row>
    <row r="597" ht="12.75" customHeight="1">
      <c r="C597" s="46" t="n"/>
    </row>
    <row r="598" ht="12.75" customHeight="1">
      <c r="C598" s="46" t="n"/>
    </row>
    <row r="599" ht="12.75" customHeight="1">
      <c r="C599" s="46" t="n"/>
    </row>
    <row r="600" ht="12.75" customHeight="1">
      <c r="C600" s="46" t="n"/>
    </row>
    <row r="601" ht="12.75" customHeight="1">
      <c r="C601" s="46" t="n"/>
    </row>
    <row r="602" ht="12.75" customHeight="1">
      <c r="C602" s="46" t="n"/>
    </row>
    <row r="603" ht="12.75" customHeight="1">
      <c r="C603" s="46" t="n"/>
    </row>
    <row r="604" ht="12.75" customHeight="1">
      <c r="C604" s="46" t="n"/>
    </row>
    <row r="605" ht="12.75" customHeight="1">
      <c r="C605" s="46" t="n"/>
    </row>
    <row r="606" ht="12.75" customHeight="1">
      <c r="C606" s="46" t="n"/>
    </row>
    <row r="607" ht="12.75" customHeight="1">
      <c r="C607" s="46" t="n"/>
    </row>
    <row r="608" ht="12.75" customHeight="1">
      <c r="C608" s="46" t="n"/>
    </row>
    <row r="609" ht="12.75" customHeight="1">
      <c r="C609" s="46" t="n"/>
    </row>
    <row r="610" ht="12.75" customHeight="1">
      <c r="C610" s="46" t="n"/>
    </row>
    <row r="611" ht="12.75" customHeight="1">
      <c r="C611" s="46" t="n"/>
    </row>
    <row r="612" ht="12.75" customHeight="1">
      <c r="C612" s="46" t="n"/>
    </row>
    <row r="613" ht="12.75" customHeight="1">
      <c r="C613" s="46" t="n"/>
    </row>
    <row r="614" ht="12.75" customHeight="1">
      <c r="C614" s="46" t="n"/>
    </row>
    <row r="615" ht="12.75" customHeight="1">
      <c r="C615" s="46" t="n"/>
    </row>
    <row r="616" ht="12.75" customHeight="1">
      <c r="C616" s="46" t="n"/>
    </row>
    <row r="617" ht="12.75" customHeight="1">
      <c r="C617" s="46" t="n"/>
    </row>
    <row r="618" ht="12.75" customHeight="1">
      <c r="C618" s="46" t="n"/>
    </row>
    <row r="619" ht="12.75" customHeight="1">
      <c r="C619" s="46" t="n"/>
    </row>
    <row r="620" ht="12.75" customHeight="1">
      <c r="C620" s="46" t="n"/>
    </row>
    <row r="621" ht="12.75" customHeight="1">
      <c r="C621" s="46" t="n"/>
    </row>
    <row r="622" ht="12.75" customHeight="1">
      <c r="C622" s="46" t="n"/>
    </row>
    <row r="623" ht="12.75" customHeight="1">
      <c r="C623" s="46" t="n"/>
    </row>
    <row r="624" ht="12.75" customHeight="1">
      <c r="C624" s="46" t="n"/>
    </row>
    <row r="625" ht="12.75" customHeight="1">
      <c r="C625" s="46" t="n"/>
    </row>
    <row r="626" ht="12.75" customHeight="1">
      <c r="C626" s="46" t="n"/>
    </row>
    <row r="627" ht="12.75" customHeight="1">
      <c r="C627" s="46" t="n"/>
    </row>
    <row r="628" ht="12.75" customHeight="1">
      <c r="C628" s="46" t="n"/>
    </row>
    <row r="629" ht="12.75" customHeight="1">
      <c r="C629" s="46" t="n"/>
    </row>
    <row r="630" ht="12.75" customHeight="1">
      <c r="C630" s="46" t="n"/>
    </row>
    <row r="631" ht="12.75" customHeight="1">
      <c r="C631" s="46" t="n"/>
    </row>
    <row r="632" ht="12.75" customHeight="1">
      <c r="C632" s="46" t="n"/>
    </row>
    <row r="633" ht="12.75" customHeight="1">
      <c r="C633" s="46" t="n"/>
    </row>
    <row r="634" ht="12.75" customHeight="1">
      <c r="C634" s="46" t="n"/>
    </row>
    <row r="635" ht="12.75" customHeight="1">
      <c r="C635" s="46" t="n"/>
    </row>
    <row r="636" ht="12.75" customHeight="1">
      <c r="C636" s="46" t="n"/>
    </row>
    <row r="637" ht="12.75" customHeight="1">
      <c r="C637" s="46" t="n"/>
    </row>
    <row r="638" ht="12.75" customHeight="1">
      <c r="C638" s="46" t="n"/>
    </row>
    <row r="639" ht="12.75" customHeight="1">
      <c r="C639" s="46" t="n"/>
    </row>
    <row r="640" ht="12.75" customHeight="1">
      <c r="C640" s="46" t="n"/>
    </row>
    <row r="641" ht="12.75" customHeight="1">
      <c r="C641" s="46" t="n"/>
    </row>
    <row r="642" ht="12.75" customHeight="1">
      <c r="C642" s="46" t="n"/>
    </row>
    <row r="643" ht="12.75" customHeight="1">
      <c r="C643" s="46" t="n"/>
    </row>
    <row r="644" ht="12.75" customHeight="1">
      <c r="C644" s="46" t="n"/>
    </row>
    <row r="645" ht="12.75" customHeight="1">
      <c r="C645" s="46" t="n"/>
    </row>
    <row r="646" ht="12.75" customHeight="1">
      <c r="C646" s="46" t="n"/>
    </row>
    <row r="647" ht="12.75" customHeight="1">
      <c r="C647" s="46" t="n"/>
    </row>
    <row r="648" ht="12.75" customHeight="1">
      <c r="C648" s="46" t="n"/>
    </row>
    <row r="649" ht="12.75" customHeight="1">
      <c r="C649" s="46" t="n"/>
    </row>
    <row r="650" ht="12.75" customHeight="1">
      <c r="C650" s="46" t="n"/>
    </row>
    <row r="651" ht="12.75" customHeight="1">
      <c r="C651" s="46" t="n"/>
    </row>
    <row r="652" ht="12.75" customHeight="1">
      <c r="C652" s="46" t="n"/>
    </row>
    <row r="653" ht="12.75" customHeight="1">
      <c r="C653" s="46" t="n"/>
    </row>
    <row r="654" ht="12.75" customHeight="1">
      <c r="C654" s="46" t="n"/>
    </row>
    <row r="655" ht="12.75" customHeight="1">
      <c r="C655" s="46" t="n"/>
    </row>
    <row r="656" ht="12.75" customHeight="1">
      <c r="C656" s="46" t="n"/>
    </row>
    <row r="657" ht="12.75" customHeight="1">
      <c r="C657" s="46" t="n"/>
    </row>
    <row r="658" ht="12.75" customHeight="1">
      <c r="C658" s="46" t="n"/>
    </row>
    <row r="659" ht="12.75" customHeight="1">
      <c r="C659" s="46" t="n"/>
    </row>
    <row r="660" ht="12.75" customHeight="1">
      <c r="C660" s="46" t="n"/>
    </row>
    <row r="661" ht="12.75" customHeight="1">
      <c r="C661" s="46" t="n"/>
    </row>
    <row r="662" ht="12.75" customHeight="1">
      <c r="C662" s="46" t="n"/>
    </row>
    <row r="663" ht="12.75" customHeight="1">
      <c r="C663" s="46" t="n"/>
    </row>
    <row r="664" ht="12.75" customHeight="1">
      <c r="C664" s="46" t="n"/>
    </row>
    <row r="665" ht="12.75" customHeight="1">
      <c r="C665" s="46" t="n"/>
    </row>
    <row r="666" ht="12.75" customHeight="1">
      <c r="C666" s="46" t="n"/>
    </row>
    <row r="667" ht="12.75" customHeight="1">
      <c r="C667" s="46" t="n"/>
    </row>
    <row r="668" ht="12.75" customHeight="1">
      <c r="C668" s="46" t="n"/>
    </row>
    <row r="669" ht="12.75" customHeight="1">
      <c r="C669" s="46" t="n"/>
    </row>
    <row r="670" ht="12.75" customHeight="1">
      <c r="C670" s="46" t="n"/>
    </row>
    <row r="671" ht="12.75" customHeight="1">
      <c r="C671" s="46" t="n"/>
    </row>
    <row r="672" ht="12.75" customHeight="1">
      <c r="C672" s="46" t="n"/>
    </row>
    <row r="673" ht="12.75" customHeight="1">
      <c r="C673" s="46" t="n"/>
    </row>
    <row r="674" ht="12.75" customHeight="1">
      <c r="C674" s="46" t="n"/>
    </row>
    <row r="675" ht="12.75" customHeight="1">
      <c r="C675" s="46" t="n"/>
    </row>
    <row r="676" ht="12.75" customHeight="1">
      <c r="C676" s="46" t="n"/>
    </row>
    <row r="677" ht="12.75" customHeight="1">
      <c r="C677" s="46" t="n"/>
    </row>
    <row r="678" ht="12.75" customHeight="1">
      <c r="C678" s="46" t="n"/>
    </row>
    <row r="679" ht="12.75" customHeight="1">
      <c r="C679" s="46" t="n"/>
    </row>
    <row r="680" ht="12.75" customHeight="1">
      <c r="C680" s="46" t="n"/>
    </row>
    <row r="681" ht="12.75" customHeight="1">
      <c r="C681" s="46" t="n"/>
    </row>
    <row r="682" ht="12.75" customHeight="1">
      <c r="C682" s="46" t="n"/>
    </row>
    <row r="683" ht="12.75" customHeight="1">
      <c r="C683" s="46" t="n"/>
    </row>
    <row r="684" ht="12.75" customHeight="1">
      <c r="C684" s="46" t="n"/>
    </row>
    <row r="685" ht="12.75" customHeight="1">
      <c r="C685" s="46" t="n"/>
    </row>
    <row r="686" ht="12.75" customHeight="1">
      <c r="C686" s="46" t="n"/>
    </row>
    <row r="687" ht="12.75" customHeight="1">
      <c r="C687" s="46" t="n"/>
    </row>
    <row r="688" ht="12.75" customHeight="1">
      <c r="C688" s="46" t="n"/>
    </row>
    <row r="689" ht="12.75" customHeight="1">
      <c r="C689" s="46" t="n"/>
    </row>
    <row r="690" ht="12.75" customHeight="1">
      <c r="C690" s="46" t="n"/>
    </row>
    <row r="691" ht="12.75" customHeight="1">
      <c r="C691" s="46" t="n"/>
    </row>
    <row r="692" ht="12.75" customHeight="1">
      <c r="C692" s="46" t="n"/>
    </row>
    <row r="693" ht="12.75" customHeight="1">
      <c r="C693" s="46" t="n"/>
    </row>
    <row r="694" ht="12.75" customHeight="1">
      <c r="C694" s="46" t="n"/>
    </row>
    <row r="695" ht="12.75" customHeight="1">
      <c r="C695" s="46" t="n"/>
    </row>
    <row r="696" ht="12.75" customHeight="1">
      <c r="C696" s="46" t="n"/>
    </row>
    <row r="697" ht="12.75" customHeight="1">
      <c r="C697" s="46" t="n"/>
    </row>
    <row r="698" ht="12.75" customHeight="1">
      <c r="C698" s="46" t="n"/>
    </row>
    <row r="699" ht="12.75" customHeight="1">
      <c r="C699" s="46" t="n"/>
    </row>
    <row r="700" ht="12.75" customHeight="1">
      <c r="C700" s="46" t="n"/>
    </row>
    <row r="701" ht="12.75" customHeight="1">
      <c r="C701" s="46" t="n"/>
    </row>
    <row r="702" ht="12.75" customHeight="1">
      <c r="C702" s="46" t="n"/>
    </row>
    <row r="703" ht="12.75" customHeight="1">
      <c r="C703" s="46" t="n"/>
    </row>
    <row r="704" ht="12.75" customHeight="1">
      <c r="C704" s="46" t="n"/>
    </row>
    <row r="705" ht="12.75" customHeight="1">
      <c r="C705" s="46" t="n"/>
    </row>
    <row r="706" ht="12.75" customHeight="1">
      <c r="C706" s="46" t="n"/>
    </row>
    <row r="707" ht="12.75" customHeight="1">
      <c r="C707" s="46" t="n"/>
    </row>
    <row r="708" ht="12.75" customHeight="1">
      <c r="C708" s="46" t="n"/>
    </row>
    <row r="709" ht="12.75" customHeight="1">
      <c r="C709" s="46" t="n"/>
    </row>
    <row r="710" ht="12.75" customHeight="1">
      <c r="C710" s="46" t="n"/>
    </row>
    <row r="711" ht="12.75" customHeight="1">
      <c r="C711" s="46" t="n"/>
    </row>
    <row r="712" ht="12.75" customHeight="1">
      <c r="C712" s="46" t="n"/>
    </row>
    <row r="713" ht="12.75" customHeight="1">
      <c r="C713" s="46" t="n"/>
    </row>
    <row r="714" ht="12.75" customHeight="1">
      <c r="C714" s="46" t="n"/>
    </row>
    <row r="715" ht="12.75" customHeight="1">
      <c r="C715" s="46" t="n"/>
    </row>
    <row r="716" ht="12.75" customHeight="1">
      <c r="C716" s="46" t="n"/>
    </row>
    <row r="717" ht="12.75" customHeight="1">
      <c r="C717" s="46" t="n"/>
    </row>
    <row r="718" ht="12.75" customHeight="1">
      <c r="C718" s="46" t="n"/>
    </row>
    <row r="719" ht="12.75" customHeight="1">
      <c r="C719" s="46" t="n"/>
    </row>
    <row r="720" ht="12.75" customHeight="1">
      <c r="C720" s="46" t="n"/>
    </row>
    <row r="721" ht="12.75" customHeight="1">
      <c r="C721" s="46" t="n"/>
    </row>
    <row r="722" ht="12.75" customHeight="1">
      <c r="C722" s="46" t="n"/>
    </row>
    <row r="723" ht="12.75" customHeight="1">
      <c r="C723" s="46" t="n"/>
    </row>
    <row r="724" ht="12.75" customHeight="1">
      <c r="C724" s="46" t="n"/>
    </row>
    <row r="725" ht="12.75" customHeight="1">
      <c r="C725" s="46" t="n"/>
    </row>
    <row r="726" ht="12.75" customHeight="1">
      <c r="C726" s="46" t="n"/>
    </row>
    <row r="727" ht="12.75" customHeight="1">
      <c r="C727" s="46" t="n"/>
    </row>
    <row r="728" ht="12.75" customHeight="1">
      <c r="C728" s="46" t="n"/>
    </row>
    <row r="729" ht="12.75" customHeight="1">
      <c r="C729" s="46" t="n"/>
    </row>
    <row r="730" ht="12.75" customHeight="1">
      <c r="C730" s="46" t="n"/>
    </row>
    <row r="731" ht="12.75" customHeight="1">
      <c r="C731" s="46" t="n"/>
    </row>
    <row r="732" ht="12.75" customHeight="1">
      <c r="C732" s="46" t="n"/>
    </row>
    <row r="733" ht="12.75" customHeight="1">
      <c r="C733" s="46" t="n"/>
    </row>
    <row r="734" ht="12.75" customHeight="1">
      <c r="C734" s="46" t="n"/>
    </row>
    <row r="735" ht="12.75" customHeight="1">
      <c r="C735" s="46" t="n"/>
    </row>
    <row r="736" ht="12.75" customHeight="1">
      <c r="C736" s="46" t="n"/>
    </row>
    <row r="737" ht="12.75" customHeight="1">
      <c r="C737" s="46" t="n"/>
    </row>
    <row r="738" ht="12.75" customHeight="1">
      <c r="C738" s="46" t="n"/>
    </row>
    <row r="739" ht="12.75" customHeight="1">
      <c r="C739" s="46" t="n"/>
    </row>
    <row r="740" ht="12.75" customHeight="1">
      <c r="C740" s="46" t="n"/>
    </row>
    <row r="741" ht="12.75" customHeight="1">
      <c r="C741" s="46" t="n"/>
    </row>
    <row r="742" ht="12.75" customHeight="1">
      <c r="C742" s="46" t="n"/>
    </row>
    <row r="743" ht="12.75" customHeight="1">
      <c r="C743" s="46" t="n"/>
    </row>
    <row r="744" ht="12.75" customHeight="1">
      <c r="C744" s="46" t="n"/>
    </row>
    <row r="745" ht="12.75" customHeight="1">
      <c r="C745" s="46" t="n"/>
    </row>
    <row r="746" ht="12.75" customHeight="1">
      <c r="C746" s="46" t="n"/>
    </row>
    <row r="747" ht="12.75" customHeight="1">
      <c r="C747" s="46" t="n"/>
    </row>
    <row r="748" ht="12.75" customHeight="1">
      <c r="C748" s="46" t="n"/>
    </row>
    <row r="749" ht="12.75" customHeight="1">
      <c r="C749" s="46" t="n"/>
    </row>
    <row r="750" ht="12.75" customHeight="1">
      <c r="C750" s="46" t="n"/>
    </row>
    <row r="751" ht="12.75" customHeight="1">
      <c r="C751" s="46" t="n"/>
    </row>
    <row r="752" ht="12.75" customHeight="1">
      <c r="C752" s="46" t="n"/>
    </row>
    <row r="753" ht="12.75" customHeight="1">
      <c r="C753" s="46" t="n"/>
    </row>
    <row r="754" ht="12.75" customHeight="1">
      <c r="C754" s="46" t="n"/>
    </row>
    <row r="755" ht="12.75" customHeight="1">
      <c r="C755" s="46" t="n"/>
    </row>
    <row r="756" ht="12.75" customHeight="1">
      <c r="C756" s="46" t="n"/>
    </row>
    <row r="757" ht="12.75" customHeight="1">
      <c r="C757" s="46" t="n"/>
    </row>
    <row r="758" ht="12.75" customHeight="1">
      <c r="C758" s="46" t="n"/>
    </row>
    <row r="759" ht="12.75" customHeight="1">
      <c r="C759" s="46" t="n"/>
    </row>
    <row r="760" ht="12.75" customHeight="1">
      <c r="C760" s="46" t="n"/>
    </row>
    <row r="761" ht="12.75" customHeight="1">
      <c r="C761" s="46" t="n"/>
    </row>
    <row r="762" ht="12.75" customHeight="1">
      <c r="C762" s="46" t="n"/>
    </row>
    <row r="763" ht="12.75" customHeight="1">
      <c r="C763" s="46" t="n"/>
    </row>
    <row r="764" ht="12.75" customHeight="1">
      <c r="C764" s="46" t="n"/>
    </row>
    <row r="765" ht="12.75" customHeight="1">
      <c r="C765" s="46" t="n"/>
    </row>
    <row r="766" ht="12.75" customHeight="1">
      <c r="C766" s="46" t="n"/>
    </row>
    <row r="767" ht="12.75" customHeight="1">
      <c r="C767" s="46" t="n"/>
    </row>
    <row r="768" ht="12.75" customHeight="1">
      <c r="C768" s="46" t="n"/>
    </row>
    <row r="769" ht="12.75" customHeight="1">
      <c r="C769" s="46" t="n"/>
    </row>
    <row r="770" ht="12.75" customHeight="1">
      <c r="C770" s="46" t="n"/>
    </row>
    <row r="771" ht="12.75" customHeight="1">
      <c r="C771" s="46" t="n"/>
    </row>
    <row r="772" ht="12.75" customHeight="1">
      <c r="C772" s="46" t="n"/>
    </row>
    <row r="773" ht="12.75" customHeight="1">
      <c r="C773" s="46" t="n"/>
    </row>
    <row r="774" ht="12.75" customHeight="1">
      <c r="C774" s="46" t="n"/>
    </row>
    <row r="775" ht="12.75" customHeight="1">
      <c r="C775" s="46" t="n"/>
    </row>
    <row r="776" ht="12.75" customHeight="1">
      <c r="C776" s="46" t="n"/>
    </row>
    <row r="777" ht="12.75" customHeight="1">
      <c r="C777" s="46" t="n"/>
    </row>
    <row r="778" ht="12.75" customHeight="1">
      <c r="C778" s="46" t="n"/>
    </row>
    <row r="779" ht="12.75" customHeight="1">
      <c r="C779" s="46" t="n"/>
    </row>
    <row r="780" ht="12.75" customHeight="1">
      <c r="C780" s="46" t="n"/>
    </row>
    <row r="781" ht="12.75" customHeight="1">
      <c r="C781" s="46" t="n"/>
    </row>
    <row r="782" ht="12.75" customHeight="1">
      <c r="C782" s="46" t="n"/>
    </row>
    <row r="783" ht="12.75" customHeight="1">
      <c r="C783" s="46" t="n"/>
    </row>
    <row r="784" ht="12.75" customHeight="1">
      <c r="C784" s="46" t="n"/>
    </row>
    <row r="785" ht="12.75" customHeight="1">
      <c r="C785" s="46" t="n"/>
    </row>
    <row r="786" ht="12.75" customHeight="1">
      <c r="C786" s="46" t="n"/>
    </row>
    <row r="787" ht="12.75" customHeight="1">
      <c r="C787" s="46" t="n"/>
    </row>
    <row r="788" ht="12.75" customHeight="1">
      <c r="C788" s="46" t="n"/>
    </row>
    <row r="789" ht="12.75" customHeight="1">
      <c r="C789" s="46" t="n"/>
    </row>
    <row r="790" ht="12.75" customHeight="1">
      <c r="C790" s="46" t="n"/>
    </row>
    <row r="791" ht="12.75" customHeight="1">
      <c r="C791" s="46" t="n"/>
    </row>
    <row r="792" ht="12.75" customHeight="1">
      <c r="C792" s="46" t="n"/>
    </row>
    <row r="793" ht="12.75" customHeight="1">
      <c r="C793" s="46" t="n"/>
    </row>
    <row r="794" ht="12.75" customHeight="1">
      <c r="C794" s="46" t="n"/>
    </row>
    <row r="795" ht="12.75" customHeight="1">
      <c r="C795" s="46" t="n"/>
    </row>
    <row r="796" ht="12.75" customHeight="1">
      <c r="C796" s="46" t="n"/>
    </row>
    <row r="797" ht="12.75" customHeight="1">
      <c r="C797" s="46" t="n"/>
    </row>
    <row r="798" ht="12.75" customHeight="1">
      <c r="C798" s="46" t="n"/>
    </row>
    <row r="799" ht="12.75" customHeight="1">
      <c r="C799" s="46" t="n"/>
    </row>
    <row r="800" ht="12.75" customHeight="1">
      <c r="C800" s="46" t="n"/>
    </row>
    <row r="801" ht="12.75" customHeight="1">
      <c r="C801" s="46" t="n"/>
    </row>
    <row r="802" ht="12.75" customHeight="1">
      <c r="C802" s="46" t="n"/>
    </row>
    <row r="803" ht="12.75" customHeight="1">
      <c r="C803" s="46" t="n"/>
    </row>
    <row r="804" ht="12.75" customHeight="1">
      <c r="C804" s="46" t="n"/>
    </row>
    <row r="805" ht="12.75" customHeight="1">
      <c r="C805" s="46" t="n"/>
    </row>
    <row r="806" ht="12.75" customHeight="1">
      <c r="C806" s="46" t="n"/>
    </row>
    <row r="807" ht="12.75" customHeight="1">
      <c r="C807" s="46" t="n"/>
    </row>
    <row r="808" ht="12.75" customHeight="1">
      <c r="C808" s="46" t="n"/>
    </row>
    <row r="809" ht="12.75" customHeight="1">
      <c r="C809" s="46" t="n"/>
    </row>
    <row r="810" ht="12.75" customHeight="1">
      <c r="C810" s="46" t="n"/>
    </row>
    <row r="811" ht="12.75" customHeight="1">
      <c r="C811" s="46" t="n"/>
    </row>
    <row r="812" ht="12.75" customHeight="1">
      <c r="C812" s="46" t="n"/>
    </row>
    <row r="813" ht="12.75" customHeight="1">
      <c r="C813" s="46" t="n"/>
    </row>
    <row r="814" ht="12.75" customHeight="1">
      <c r="C814" s="46" t="n"/>
    </row>
    <row r="815" ht="12.75" customHeight="1">
      <c r="C815" s="46" t="n"/>
    </row>
    <row r="816" ht="12.75" customHeight="1">
      <c r="C816" s="46" t="n"/>
    </row>
    <row r="817" ht="12.75" customHeight="1">
      <c r="C817" s="46" t="n"/>
    </row>
    <row r="818" ht="12.75" customHeight="1">
      <c r="C818" s="46" t="n"/>
    </row>
    <row r="819" ht="12.75" customHeight="1">
      <c r="C819" s="46" t="n"/>
    </row>
    <row r="820" ht="12.75" customHeight="1">
      <c r="C820" s="46" t="n"/>
    </row>
    <row r="821" ht="12.75" customHeight="1">
      <c r="C821" s="46" t="n"/>
    </row>
    <row r="822" ht="12.75" customHeight="1">
      <c r="C822" s="46" t="n"/>
    </row>
    <row r="823" ht="12.75" customHeight="1">
      <c r="C823" s="46" t="n"/>
    </row>
    <row r="824" ht="12.75" customHeight="1">
      <c r="C824" s="46" t="n"/>
    </row>
    <row r="825" ht="12.75" customHeight="1">
      <c r="C825" s="46" t="n"/>
    </row>
    <row r="826" ht="12.75" customHeight="1">
      <c r="C826" s="46" t="n"/>
    </row>
    <row r="827" ht="12.75" customHeight="1">
      <c r="C827" s="46" t="n"/>
    </row>
    <row r="828" ht="12.75" customHeight="1">
      <c r="C828" s="46" t="n"/>
    </row>
    <row r="829" ht="12.75" customHeight="1">
      <c r="C829" s="46" t="n"/>
    </row>
    <row r="830" ht="12.75" customHeight="1">
      <c r="C830" s="46" t="n"/>
    </row>
    <row r="831" ht="12.75" customHeight="1">
      <c r="C831" s="46" t="n"/>
    </row>
    <row r="832" ht="12.75" customHeight="1">
      <c r="C832" s="46" t="n"/>
    </row>
    <row r="833" ht="12.75" customHeight="1">
      <c r="C833" s="46" t="n"/>
    </row>
    <row r="834" ht="12.75" customHeight="1">
      <c r="C834" s="46" t="n"/>
    </row>
    <row r="835" ht="12.75" customHeight="1">
      <c r="C835" s="46" t="n"/>
    </row>
    <row r="836" ht="12.75" customHeight="1">
      <c r="C836" s="46" t="n"/>
    </row>
    <row r="837" ht="12.75" customHeight="1">
      <c r="C837" s="46" t="n"/>
    </row>
    <row r="838" ht="12.75" customHeight="1">
      <c r="C838" s="46" t="n"/>
    </row>
    <row r="839" ht="12.75" customHeight="1">
      <c r="C839" s="46" t="n"/>
    </row>
    <row r="840" ht="12.75" customHeight="1">
      <c r="C840" s="46" t="n"/>
    </row>
    <row r="841" ht="12.75" customHeight="1">
      <c r="C841" s="46" t="n"/>
    </row>
    <row r="842" ht="12.75" customHeight="1">
      <c r="C842" s="46" t="n"/>
    </row>
    <row r="843" ht="12.75" customHeight="1">
      <c r="C843" s="46" t="n"/>
    </row>
    <row r="844" ht="12.75" customHeight="1">
      <c r="C844" s="46" t="n"/>
    </row>
    <row r="845" ht="12.75" customHeight="1">
      <c r="C845" s="46" t="n"/>
    </row>
    <row r="846" ht="12.75" customHeight="1">
      <c r="C846" s="46" t="n"/>
    </row>
    <row r="847" ht="12.75" customHeight="1">
      <c r="C847" s="46" t="n"/>
    </row>
    <row r="848" ht="12.75" customHeight="1">
      <c r="C848" s="46" t="n"/>
    </row>
    <row r="849" ht="12.75" customHeight="1">
      <c r="C849" s="46" t="n"/>
    </row>
    <row r="850" ht="12.75" customHeight="1">
      <c r="C850" s="46" t="n"/>
    </row>
    <row r="851" ht="12.75" customHeight="1">
      <c r="C851" s="46" t="n"/>
    </row>
    <row r="852" ht="12.75" customHeight="1">
      <c r="C852" s="46" t="n"/>
    </row>
    <row r="853" ht="12.75" customHeight="1">
      <c r="C853" s="46" t="n"/>
    </row>
    <row r="854" ht="12.75" customHeight="1">
      <c r="C854" s="46" t="n"/>
    </row>
    <row r="855" ht="12.75" customHeight="1">
      <c r="C855" s="46" t="n"/>
    </row>
    <row r="856" ht="12.75" customHeight="1">
      <c r="C856" s="46" t="n"/>
    </row>
    <row r="857" ht="12.75" customHeight="1">
      <c r="C857" s="46" t="n"/>
    </row>
    <row r="858" ht="12.75" customHeight="1">
      <c r="C858" s="46" t="n"/>
    </row>
    <row r="859" ht="12.75" customHeight="1">
      <c r="C859" s="46" t="n"/>
    </row>
    <row r="860" ht="12.75" customHeight="1">
      <c r="C860" s="46" t="n"/>
    </row>
    <row r="861" ht="12.75" customHeight="1">
      <c r="C861" s="46" t="n"/>
    </row>
    <row r="862" ht="12.75" customHeight="1">
      <c r="C862" s="46" t="n"/>
    </row>
    <row r="863" ht="12.75" customHeight="1">
      <c r="C863" s="46" t="n"/>
    </row>
    <row r="864" ht="12.75" customHeight="1">
      <c r="C864" s="46" t="n"/>
    </row>
    <row r="865" ht="12.75" customHeight="1">
      <c r="C865" s="46" t="n"/>
    </row>
    <row r="866" ht="12.75" customHeight="1">
      <c r="C866" s="46" t="n"/>
    </row>
    <row r="867" ht="12.75" customHeight="1">
      <c r="C867" s="46" t="n"/>
    </row>
    <row r="868" ht="12.75" customHeight="1">
      <c r="C868" s="46" t="n"/>
    </row>
    <row r="869" ht="12.75" customHeight="1">
      <c r="C869" s="46" t="n"/>
    </row>
    <row r="870" ht="12.75" customHeight="1">
      <c r="C870" s="46" t="n"/>
    </row>
    <row r="871" ht="12.75" customHeight="1">
      <c r="C871" s="46" t="n"/>
    </row>
    <row r="872" ht="12.75" customHeight="1">
      <c r="C872" s="46" t="n"/>
    </row>
    <row r="873" ht="12.75" customHeight="1">
      <c r="C873" s="46" t="n"/>
    </row>
    <row r="874" ht="12.75" customHeight="1">
      <c r="C874" s="46" t="n"/>
    </row>
    <row r="875" ht="12.75" customHeight="1">
      <c r="C875" s="46" t="n"/>
    </row>
    <row r="876" ht="12.75" customHeight="1">
      <c r="C876" s="46" t="n"/>
    </row>
    <row r="877" ht="12.75" customHeight="1">
      <c r="C877" s="46" t="n"/>
    </row>
    <row r="878" ht="12.75" customHeight="1">
      <c r="C878" s="46" t="n"/>
    </row>
    <row r="879" ht="12.75" customHeight="1">
      <c r="C879" s="46" t="n"/>
    </row>
    <row r="880" ht="12.75" customHeight="1">
      <c r="C880" s="46" t="n"/>
    </row>
    <row r="881" ht="12.75" customHeight="1">
      <c r="C881" s="46" t="n"/>
    </row>
    <row r="882" ht="12.75" customHeight="1">
      <c r="C882" s="46" t="n"/>
    </row>
    <row r="883" ht="12.75" customHeight="1">
      <c r="C883" s="46" t="n"/>
    </row>
    <row r="884" ht="12.75" customHeight="1">
      <c r="C884" s="46" t="n"/>
    </row>
    <row r="885" ht="12.75" customHeight="1">
      <c r="C885" s="46" t="n"/>
    </row>
    <row r="886" ht="12.75" customHeight="1">
      <c r="C886" s="46" t="n"/>
    </row>
    <row r="887" ht="12.75" customHeight="1">
      <c r="C887" s="46" t="n"/>
    </row>
    <row r="888" ht="12.75" customHeight="1">
      <c r="C888" s="46" t="n"/>
    </row>
    <row r="889" ht="12.75" customHeight="1">
      <c r="C889" s="46" t="n"/>
    </row>
    <row r="890" ht="12.75" customHeight="1">
      <c r="C890" s="46" t="n"/>
    </row>
    <row r="891" ht="12.75" customHeight="1">
      <c r="C891" s="46" t="n"/>
    </row>
    <row r="892" ht="12.75" customHeight="1">
      <c r="C892" s="46" t="n"/>
    </row>
    <row r="893" ht="12.75" customHeight="1">
      <c r="C893" s="46" t="n"/>
    </row>
    <row r="894" ht="12.75" customHeight="1">
      <c r="C894" s="46" t="n"/>
    </row>
    <row r="895" ht="12.75" customHeight="1">
      <c r="C895" s="46" t="n"/>
    </row>
    <row r="896" ht="12.75" customHeight="1">
      <c r="C896" s="46" t="n"/>
    </row>
    <row r="897" ht="12.75" customHeight="1">
      <c r="C897" s="46" t="n"/>
    </row>
    <row r="898" ht="12.75" customHeight="1">
      <c r="C898" s="46" t="n"/>
    </row>
    <row r="899" ht="12.75" customHeight="1">
      <c r="C899" s="46" t="n"/>
    </row>
    <row r="900" ht="12.75" customHeight="1">
      <c r="C900" s="46" t="n"/>
    </row>
    <row r="901" ht="12.75" customHeight="1">
      <c r="C901" s="46" t="n"/>
    </row>
    <row r="902" ht="12.75" customHeight="1">
      <c r="C902" s="46" t="n"/>
    </row>
    <row r="903" ht="12.75" customHeight="1">
      <c r="C903" s="46" t="n"/>
    </row>
    <row r="904" ht="12.75" customHeight="1">
      <c r="C904" s="46" t="n"/>
    </row>
    <row r="905" ht="12.75" customHeight="1">
      <c r="C905" s="46" t="n"/>
    </row>
    <row r="906" ht="12.75" customHeight="1">
      <c r="C906" s="46" t="n"/>
    </row>
    <row r="907" ht="12.75" customHeight="1">
      <c r="C907" s="46" t="n"/>
    </row>
    <row r="908" ht="12.75" customHeight="1">
      <c r="C908" s="46" t="n"/>
    </row>
    <row r="909" ht="12.75" customHeight="1">
      <c r="C909" s="46" t="n"/>
    </row>
    <row r="910" ht="12.75" customHeight="1">
      <c r="C910" s="46" t="n"/>
    </row>
    <row r="911" ht="12.75" customHeight="1">
      <c r="C911" s="46" t="n"/>
    </row>
    <row r="912" ht="12.75" customHeight="1">
      <c r="C912" s="46" t="n"/>
    </row>
    <row r="913" ht="12.75" customHeight="1">
      <c r="C913" s="46" t="n"/>
    </row>
    <row r="914" ht="12.75" customHeight="1">
      <c r="C914" s="46" t="n"/>
    </row>
    <row r="915" ht="12.75" customHeight="1">
      <c r="C915" s="46" t="n"/>
    </row>
    <row r="916" ht="12.75" customHeight="1">
      <c r="C916" s="46" t="n"/>
    </row>
    <row r="917" ht="12.75" customHeight="1">
      <c r="C917" s="46" t="n"/>
    </row>
    <row r="918" ht="12.75" customHeight="1">
      <c r="C918" s="46" t="n"/>
    </row>
    <row r="919" ht="12.75" customHeight="1">
      <c r="C919" s="46" t="n"/>
    </row>
    <row r="920" ht="12.75" customHeight="1">
      <c r="C920" s="46" t="n"/>
    </row>
    <row r="921" ht="12.75" customHeight="1">
      <c r="C921" s="46" t="n"/>
    </row>
    <row r="922" ht="12.75" customHeight="1">
      <c r="C922" s="46" t="n"/>
    </row>
    <row r="923" ht="12.75" customHeight="1">
      <c r="C923" s="46" t="n"/>
    </row>
    <row r="924" ht="12.75" customHeight="1">
      <c r="C924" s="46" t="n"/>
    </row>
    <row r="925" ht="12.75" customHeight="1">
      <c r="C925" s="46" t="n"/>
    </row>
    <row r="926" ht="12.75" customHeight="1">
      <c r="C926" s="46" t="n"/>
    </row>
    <row r="927" ht="12.75" customHeight="1">
      <c r="C927" s="46" t="n"/>
    </row>
    <row r="928" ht="12.75" customHeight="1">
      <c r="C928" s="46" t="n"/>
    </row>
    <row r="929" ht="12.75" customHeight="1">
      <c r="C929" s="46" t="n"/>
    </row>
    <row r="930" ht="12.75" customHeight="1">
      <c r="C930" s="46" t="n"/>
    </row>
    <row r="931" ht="12.75" customHeight="1">
      <c r="C931" s="46" t="n"/>
    </row>
    <row r="932" ht="12.75" customHeight="1">
      <c r="C932" s="46" t="n"/>
    </row>
    <row r="933" ht="12.75" customHeight="1">
      <c r="C933" s="46" t="n"/>
    </row>
    <row r="934" ht="12.75" customHeight="1">
      <c r="C934" s="46" t="n"/>
    </row>
    <row r="935" ht="12.75" customHeight="1">
      <c r="C935" s="46" t="n"/>
    </row>
    <row r="936" ht="12.75" customHeight="1">
      <c r="C936" s="46" t="n"/>
    </row>
    <row r="937" ht="12.75" customHeight="1">
      <c r="C937" s="46" t="n"/>
    </row>
    <row r="938" ht="12.75" customHeight="1">
      <c r="C938" s="46" t="n"/>
    </row>
    <row r="939" ht="12.75" customHeight="1">
      <c r="C939" s="46" t="n"/>
    </row>
    <row r="940" ht="12.75" customHeight="1">
      <c r="C940" s="46" t="n"/>
    </row>
    <row r="941" ht="12.75" customHeight="1">
      <c r="C941" s="46" t="n"/>
    </row>
    <row r="942" ht="12.75" customHeight="1">
      <c r="C942" s="46" t="n"/>
    </row>
    <row r="943" ht="12.75" customHeight="1">
      <c r="C943" s="46" t="n"/>
    </row>
    <row r="944" ht="12.75" customHeight="1">
      <c r="C944" s="46" t="n"/>
    </row>
    <row r="945" ht="12.75" customHeight="1">
      <c r="C945" s="46" t="n"/>
    </row>
    <row r="946" ht="12.75" customHeight="1">
      <c r="C946" s="46" t="n"/>
    </row>
    <row r="947" ht="12.75" customHeight="1">
      <c r="C947" s="46" t="n"/>
    </row>
    <row r="948" ht="12.75" customHeight="1">
      <c r="C948" s="46" t="n"/>
    </row>
    <row r="949" ht="12.75" customHeight="1">
      <c r="C949" s="46" t="n"/>
    </row>
    <row r="950" ht="12.75" customHeight="1">
      <c r="C950" s="46" t="n"/>
    </row>
    <row r="951" ht="12.75" customHeight="1">
      <c r="C951" s="46" t="n"/>
    </row>
    <row r="952" ht="12.75" customHeight="1">
      <c r="C952" s="46" t="n"/>
    </row>
    <row r="953" ht="12.75" customHeight="1">
      <c r="C953" s="46" t="n"/>
    </row>
    <row r="954" ht="12.75" customHeight="1">
      <c r="C954" s="46" t="n"/>
    </row>
    <row r="955" ht="12.75" customHeight="1">
      <c r="C955" s="46" t="n"/>
    </row>
    <row r="956" ht="12.75" customHeight="1">
      <c r="C956" s="46" t="n"/>
    </row>
    <row r="957" ht="12.75" customHeight="1">
      <c r="C957" s="46" t="n"/>
    </row>
    <row r="958" ht="12.75" customHeight="1">
      <c r="C958" s="46" t="n"/>
    </row>
    <row r="959" ht="12.75" customHeight="1">
      <c r="C959" s="46" t="n"/>
    </row>
    <row r="960" ht="12.75" customHeight="1">
      <c r="C960" s="46" t="n"/>
    </row>
    <row r="961" ht="12.75" customHeight="1">
      <c r="C961" s="46" t="n"/>
    </row>
  </sheetData>
  <mergeCells count="4">
    <mergeCell ref="A1:F3"/>
    <mergeCell ref="B6:D6"/>
    <mergeCell ref="B5:D5"/>
    <mergeCell ref="B4:D4"/>
  </mergeCell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E52"/>
  <sheetViews>
    <sheetView topLeftCell="A23" workbookViewId="0">
      <selection activeCell="H11" sqref="H11"/>
    </sheetView>
  </sheetViews>
  <sheetFormatPr baseColWidth="8" defaultColWidth="12.5703125" defaultRowHeight="15.75" customHeight="1"/>
  <cols>
    <col width="19" customWidth="1" style="10" min="1" max="1"/>
    <col width="43.140625" customWidth="1" style="10" min="2" max="2"/>
    <col width="62.85546875" customWidth="1" style="10" min="3" max="3"/>
    <col width="22.5703125" customWidth="1" style="10" min="4" max="4"/>
    <col width="12.5703125" customWidth="1" style="10" min="5" max="16384"/>
  </cols>
  <sheetData>
    <row r="1" ht="15.75" customHeight="1">
      <c r="A1" s="67" t="inlineStr">
        <is>
          <t>Ngày diễn ra</t>
        </is>
      </c>
      <c r="B1" s="67" t="inlineStr">
        <is>
          <t>Hình thức</t>
        </is>
      </c>
      <c r="C1" s="38" t="inlineStr">
        <is>
          <t>Giảng viên / Khách hàng đại diện</t>
        </is>
      </c>
      <c r="D1" s="67" t="inlineStr">
        <is>
          <t>Thông tin bổ sung</t>
        </is>
      </c>
      <c r="E1" s="88" t="n"/>
    </row>
    <row r="2" ht="15.75" customHeight="1">
      <c r="A2" s="66" t="inlineStr">
        <is>
          <t>&lt;Ngày diễn ra UAT&gt;</t>
        </is>
      </c>
      <c r="B2" s="66" t="inlineStr">
        <is>
          <t>&lt;Hình thức: Online/Offline dưới sự chứng kiến của hội đồng&gt;</t>
        </is>
      </c>
      <c r="C2" s="66" t="inlineStr">
        <is>
          <t>&lt;Danh sách giảng viên/khách hàng đại diện&gt;</t>
        </is>
      </c>
      <c r="D2" s="89" t="inlineStr">
        <is>
          <t>- Tên miền: &lt;URL hệ thống TCS khi UAT&gt;
- Trình duyệt: Google Chrome</t>
        </is>
      </c>
      <c r="E2" s="90" t="n"/>
    </row>
    <row r="3" ht="15.75" customHeight="1">
      <c r="A3" s="37" t="n"/>
      <c r="B3" s="91" t="n"/>
      <c r="C3" s="66" t="n"/>
      <c r="D3" s="92" t="n"/>
      <c r="E3" s="93" t="n"/>
    </row>
    <row r="5">
      <c r="A5" s="29" t="inlineStr">
        <is>
          <t>Number of TCs</t>
        </is>
      </c>
      <c r="B5" s="30" t="inlineStr">
        <is>
          <t>Chấp nhận</t>
        </is>
      </c>
      <c r="C5" s="30" t="inlineStr">
        <is>
          <t>Từ chối</t>
        </is>
      </c>
      <c r="D5" s="30" t="inlineStr">
        <is>
          <t>Chưa kiểm tra</t>
        </is>
      </c>
      <c r="E5" s="31" t="inlineStr">
        <is>
          <t>N/A</t>
        </is>
      </c>
    </row>
    <row r="6">
      <c r="A6" s="11">
        <f>COUNTA(A10:A49)</f>
        <v/>
      </c>
      <c r="B6" s="12">
        <f>COUNTIF(D10:D49,B5)</f>
        <v/>
      </c>
      <c r="C6" s="12">
        <f>COUNTIF(D10:D49,C5)</f>
        <v/>
      </c>
      <c r="D6" s="12">
        <f>COUNTIF(D10:D49,D5)</f>
        <v/>
      </c>
      <c r="E6" s="13">
        <f>COUNTIF($F8:$F994,E5)</f>
        <v/>
      </c>
    </row>
    <row r="8">
      <c r="A8" s="94" t="inlineStr">
        <is>
          <t>#</t>
        </is>
      </c>
      <c r="B8" s="94" t="inlineStr">
        <is>
          <t>Mô tả luồng chức năng</t>
        </is>
      </c>
      <c r="C8" s="94" t="inlineStr">
        <is>
          <t>Tiêu chí chấp nhận</t>
        </is>
      </c>
      <c r="D8" s="95" t="inlineStr">
        <is>
          <t>Kết quả kiểm thử</t>
        </is>
      </c>
      <c r="E8" s="94" t="inlineStr">
        <is>
          <t>Bình luận</t>
        </is>
      </c>
    </row>
    <row r="9">
      <c r="A9" s="96" t="n"/>
      <c r="B9" s="96" t="n"/>
      <c r="C9" s="96" t="n"/>
      <c r="D9" s="83" t="n"/>
      <c r="E9" s="96" t="n"/>
    </row>
    <row r="10" ht="71" customHeight="1">
      <c r="A10" s="14" t="n">
        <v>1</v>
      </c>
      <c r="B10" s="15" t="inlineStr">
        <is>
          <t>Người dùng: Đăng ký tài khoản → nhận email chứa OTP → xác thực OTP → đăng nhập → đăng xuất</t>
        </is>
      </c>
      <c r="C10" s="16" t="inlineStr">
        <is>
          <t>- Người dùng nhận email chứa mã OTP sau khi đăng ký.
- Bắt buộc xác thực OTP trong thời hạn quy định; quá hạn → OTP hết hiệu lực.
- Sau xác thực, tài khoản chuyển ACTIVE và đăng nhập được bằng mật khẩu đã đăng ký.
- Đăng ký email đã tồn tại bị từ chối.
- Đăng xuất bình thường.</t>
        </is>
      </c>
      <c r="D10" s="17" t="inlineStr">
        <is>
          <t>Chưa kiểm tra</t>
        </is>
      </c>
      <c r="E10" s="18" t="n"/>
    </row>
    <row r="11" ht="45" customHeight="1">
      <c r="A11" s="14" t="n">
        <v>2</v>
      </c>
      <c r="B11" s="15" t="inlineStr">
        <is>
          <t>Người dùng: Quên mật khẩu → nhận email OTP → đặt lại mật khẩu → đăng nhập lại</t>
        </is>
      </c>
      <c r="C11" s="16" t="inlineStr">
        <is>
          <t>- Nhập email đã đăng ký, nhận email chứa mã OTP.
- Sau xác thực, đặt lại mật khẩu mới theo business rule (độ dài/độ mạnh).
- Đăng nhập lại bằng mật khẩu mới thành công; mật khẩu cũ không dùng được.</t>
        </is>
      </c>
      <c r="D11" s="17" t="inlineStr">
        <is>
          <t>Chưa kiểm tra</t>
        </is>
      </c>
      <c r="E11" s="18" t="n"/>
    </row>
    <row r="12" ht="32" customHeight="1">
      <c r="A12" s="14" t="n">
        <v>3</v>
      </c>
      <c r="B12" s="15" t="inlineStr">
        <is>
          <t>Người dùng: Đăng nhập bằng Google (tài khoản đã liên kết) và đăng ký mới bằng Google</t>
        </is>
      </c>
      <c r="C12" s="16" t="inlineStr">
        <is>
          <t>- Tài khoản đã liên kết Google: đăng nhập trả về đúng phiên người dùng, không tạo tài khoản trùng.
- Email Google chưa có: tạo tài khoản mới (ACTIVE) và đăng nhập được.</t>
        </is>
      </c>
      <c r="D12" s="17" t="inlineStr">
        <is>
          <t>Chưa kiểm tra</t>
        </is>
      </c>
      <c r="E12" s="18" t="n"/>
    </row>
    <row r="13" ht="32" customHeight="1">
      <c r="A13" s="14" t="n">
        <v>4</v>
      </c>
      <c r="B13" s="15" t="inlineStr">
        <is>
          <t>Người dùng: Đổi mật khẩu khi đã đăng nhập</t>
        </is>
      </c>
      <c r="C13" s="16" t="inlineStr">
        <is>
          <t>- Nhập đúng mật khẩu hiện tại và mật khẩu mới hợp lệ → cập nhật thành công.
- Sai mật khẩu hiện tại hoặc mật khẩu mới không hợp lệ → báo lỗi rõ ràng, không thay đổi.</t>
        </is>
      </c>
      <c r="D13" s="17" t="inlineStr">
        <is>
          <t>Chưa kiểm tra</t>
        </is>
      </c>
      <c r="E13" s="18" t="n"/>
    </row>
    <row r="14" ht="45" customHeight="1">
      <c r="A14" s="14" t="n">
        <v>5</v>
      </c>
      <c r="B14" s="15" t="inlineStr">
        <is>
          <t>Phụ huynh/Học viên: Tìm kiếm gia sư theo môn/khu vực → xem hồ sơ &amp; đánh giá → thêm/bỏ yêu thích</t>
        </is>
      </c>
      <c r="C14" s="16" t="inlineStr">
        <is>
          <t>- Kết quả tìm kiếm đúng bộ lọc (môn, khu vực, từ khóa).
- Xem được hồ sơ gia sư: kinh nghiệm, học phí, điểm đánh giá.
- Thêm/bỏ gia sư khỏi danh sách yêu thích, lưu chính xác.</t>
        </is>
      </c>
      <c r="D14" s="17" t="inlineStr">
        <is>
          <t>Chưa kiểm tra</t>
        </is>
      </c>
      <c r="E14" s="18" t="n"/>
    </row>
    <row r="15" ht="45" customHeight="1">
      <c r="A15" s="14" t="n">
        <v>6</v>
      </c>
      <c r="B15" s="15" t="inlineStr">
        <is>
          <t>Phụ huynh/Học viên: Dùng trợ lý AI để được tư vấn tìm gia sư/lớp học</t>
        </is>
      </c>
      <c r="C15" s="16" t="inlineStr">
        <is>
          <t>- AI trả lời có tham chiếu gia sư/lớp/FAQ thật trong hệ thống (RAG).
- Khi dịch vụ LLM lỗi/timeout, vẫn trả lời bằng cơ chế dự phòng.
- Lịch sử phiên chat được lưu, tải lại đúng và có thể xóa.</t>
        </is>
      </c>
      <c r="D15" s="17" t="inlineStr">
        <is>
          <t>Chưa kiểm tra</t>
        </is>
      </c>
      <c r="E15" s="18" t="n"/>
    </row>
    <row r="16" ht="58" customHeight="1">
      <c r="A16" s="14" t="n">
        <v>7</v>
      </c>
      <c r="B16" s="15" t="inlineStr">
        <is>
          <t>Phụ huynh: Tạo lớp (nguyện vọng) → đăng công khai → xem ứng viên → chọn gia sư → từ chối ứng viên</t>
        </is>
      </c>
      <c r="C16" s="16" t="inlineStr">
        <is>
          <t>- Tạo lớp lưu bản nháp, đăng công khai hiển thị ở danh sách lớp mở.
- Xem đầy đủ danh sách gia sư ứng tuyển và học phí đề xuất.
- Chọn 1 gia sư → sinh phân công và hợp đồng chờ ký; các ứng viên khác được từ chối kèm lý do.
- Không gỡ đăng được lớp đã có ứng tuyển.</t>
        </is>
      </c>
      <c r="D16" s="17" t="inlineStr">
        <is>
          <t>Chưa kiểm tra</t>
        </is>
      </c>
      <c r="E16" s="18" t="n"/>
    </row>
    <row r="17" ht="32" customHeight="1">
      <c r="A17" s="14" t="n">
        <v>8</v>
      </c>
      <c r="B17" s="15" t="inlineStr">
        <is>
          <t>Phụ huynh/Học viên: Ghi danh/đăng ký vào lớp học</t>
        </is>
      </c>
      <c r="C17" s="16" t="inlineStr">
        <is>
          <t>- Ghi danh thành công vào lớp đang mở đăng ký.
- Không cho ghi danh trùng; gia sư chưa xác minh bị chặn theo quy tắc.</t>
        </is>
      </c>
      <c r="D17" s="17" t="inlineStr">
        <is>
          <t>Chưa kiểm tra</t>
        </is>
      </c>
      <c r="E17" s="18" t="n"/>
    </row>
    <row r="18" ht="45" customHeight="1">
      <c r="A18" s="14" t="n">
        <v>9</v>
      </c>
      <c r="B18" s="15" t="inlineStr">
        <is>
          <t>Phụ huynh/Học viên: Ký hợp đồng điện tử bằng OTP</t>
        </is>
      </c>
      <c r="C18" s="16" t="inlineStr">
        <is>
          <t>- Yêu cầu OTP → nhận email OTP → ký thành công.
- OTP sai báo còn số lần thử; vượt ngưỡng hoặc hết hạn phải yêu cầu mã mới.
- Khi đủ các bên ký, hợp đồng chuyển hoàn tất.</t>
        </is>
      </c>
      <c r="D18" s="17" t="inlineStr">
        <is>
          <t>Chưa kiểm tra</t>
        </is>
      </c>
      <c r="E18" s="18" t="n"/>
    </row>
    <row r="19" ht="45" customHeight="1">
      <c r="A19" s="14" t="n">
        <v>10</v>
      </c>
      <c r="B19" s="15" t="inlineStr">
        <is>
          <t>Phụ huynh: Nạp tiền vào ví qua cổng thanh toán SePay</t>
        </is>
      </c>
      <c r="C19" s="16" t="inlineStr">
        <is>
          <t>- Tạo lệnh nạp và thanh toán qua SePay.
- Sau khi cổng xác nhận (webhook), số dư ví tăng đúng số tiền.
- Nạp trùng (webhook lặp) không cộng tiền hai lần.</t>
        </is>
      </c>
      <c r="D19" s="17" t="inlineStr">
        <is>
          <t>Chưa kiểm tra</t>
        </is>
      </c>
      <c r="E19" s="18" t="n"/>
    </row>
    <row r="20" ht="32" customHeight="1">
      <c r="A20" s="14" t="n">
        <v>11</v>
      </c>
      <c r="B20" s="15" t="inlineStr">
        <is>
          <t>Phụ huynh/Học viên: Theo dõi buổi học &amp; điểm danh; gửi yêu cầu đổi lịch buổi</t>
        </is>
      </c>
      <c r="C20" s="16" t="inlineStr">
        <is>
          <t>- Xem lịch và trạng thái điểm danh từng buổi.
- Gửi yêu cầu đổi lịch hợp lệ; sau khi bên còn lại duyệt, lịch cập nhật đúng, không trùng buổi khác.</t>
        </is>
      </c>
      <c r="D20" s="17" t="inlineStr">
        <is>
          <t>Chưa kiểm tra</t>
        </is>
      </c>
      <c r="E20" s="18" t="n"/>
    </row>
    <row r="21" ht="45" customHeight="1">
      <c r="A21" s="14" t="n">
        <v>12</v>
      </c>
      <c r="B21" s="15" t="inlineStr">
        <is>
          <t>Phụ huynh/Học viên: Tạo tranh chấp/báo cáo sự cố lớp → theo dõi xử lý và hoàn tiền</t>
        </is>
      </c>
      <c r="C21" s="16" t="inlineStr">
        <is>
          <t>- Tạo tranh chấp cho lớp có escrow → escrow tạm giữ, tranh chấp mở.
- Sau khi admin xử lý (hoàn một phần), tiền hoàn về ví đúng số; xem được trạng thái.
- Có thể khiếu nại/mở lại tranh chấp đã xử lý.</t>
        </is>
      </c>
      <c r="D21" s="17" t="inlineStr">
        <is>
          <t>Chưa kiểm tra</t>
        </is>
      </c>
      <c r="E21" s="18" t="n"/>
    </row>
    <row r="22" ht="45" customHeight="1">
      <c r="A22" s="14" t="n">
        <v>13</v>
      </c>
      <c r="B22" s="15" t="inlineStr">
        <is>
          <t>Học viên: Đánh giá gia sư sau khi hoàn tất buổi học</t>
        </is>
      </c>
      <c r="C22" s="16" t="inlineStr">
        <is>
          <t>- Chấm điểm (1–5) theo tiêu chí và gửi nhận xét.
- Điểm uy tín của gia sư được cập nhật và hiển thị công khai.
- Có thể chỉnh sửa đánh giá của chính mình (rating hợp lệ).</t>
        </is>
      </c>
      <c r="D22" s="17" t="inlineStr">
        <is>
          <t>Chưa kiểm tra</t>
        </is>
      </c>
      <c r="E22" s="18" t="n"/>
    </row>
    <row r="23" ht="32" customHeight="1">
      <c r="A23" s="14" t="n">
        <v>14</v>
      </c>
      <c r="B23" s="15" t="inlineStr">
        <is>
          <t>Phụ huynh: Gửi yêu cầu mở lớp tới trung tâm → theo dõi &amp; hủy yêu cầu</t>
        </is>
      </c>
      <c r="C23" s="16" t="inlineStr">
        <is>
          <t>- Gửi yêu cầu tới trung tâm đã xác minh (chặn khi nội dung trống/quá nhiều yêu cầu chờ).
- Xem trạng thái xử lý; hủy được yêu cầu đang chờ.</t>
        </is>
      </c>
      <c r="D23" s="17" t="inlineStr">
        <is>
          <t>Chưa kiểm tra</t>
        </is>
      </c>
      <c r="E23" s="18" t="n"/>
    </row>
    <row r="24" ht="32" customHeight="1">
      <c r="A24" s="14" t="n">
        <v>15</v>
      </c>
      <c r="B24" s="15" t="inlineStr">
        <is>
          <t>Phụ huynh: Tạo và quản lý hồ sơ con (học viên)</t>
        </is>
      </c>
      <c r="C24" s="16" t="inlineStr">
        <is>
          <t>- Tạo hồ sơ con với thông tin bắt buộc (tên con).
- Danh sách con hiển thị đúng; có thể liên kết con theo quy định.</t>
        </is>
      </c>
      <c r="D24" s="17" t="inlineStr">
        <is>
          <t>Chưa kiểm tra</t>
        </is>
      </c>
      <c r="E24" s="18" t="n"/>
    </row>
    <row r="25" ht="45" customHeight="1">
      <c r="A25" s="14" t="n">
        <v>16</v>
      </c>
      <c r="B25" s="15" t="inlineStr">
        <is>
          <t>Gia sư: Hoàn thiện hồ sơ, thêm kinh nghiệm &amp; lịch rảnh, nộp hồ sơ xác minh</t>
        </is>
      </c>
      <c r="C25" s="16" t="inlineStr">
        <is>
          <t>- Cập nhật hồ sơ, thêm/xóa kinh nghiệm và khung giờ rảnh.
- Upload tài liệu và nộp hồ sơ xác minh (PENDING).
- Chỉ gia sư/trung tâm mới nộp được xác minh.</t>
        </is>
      </c>
      <c r="D25" s="17" t="inlineStr">
        <is>
          <t>Chưa kiểm tra</t>
        </is>
      </c>
      <c r="E25" s="18" t="n"/>
    </row>
    <row r="26" ht="45" customHeight="1">
      <c r="A26" s="14" t="n">
        <v>17</v>
      </c>
      <c r="B26" s="15" t="inlineStr">
        <is>
          <t>Gia sư: Ứng tuyển lớp trên marketplace với học phí đề xuất</t>
        </is>
      </c>
      <c r="C26" s="16" t="inlineStr">
        <is>
          <t>- Gia sư đã xác minh ứng tuyển lớp OPEN, nhập học phí đề xuất từng môn (&gt;0).
- Đơn xuất hiện trong danh sách ứng viên của chủ lớp.
- Gia sư chưa xác minh bị chặn.</t>
        </is>
      </c>
      <c r="D26" s="17" t="inlineStr">
        <is>
          <t>Chưa kiểm tra</t>
        </is>
      </c>
      <c r="E26" s="18" t="n"/>
    </row>
    <row r="27" ht="32" customHeight="1">
      <c r="A27" s="14" t="n">
        <v>18</v>
      </c>
      <c r="B27" s="15" t="inlineStr">
        <is>
          <t>Gia sư: Ứng tuyển tin tuyển dụng của trung tâm</t>
        </is>
      </c>
      <c r="C27" s="16" t="inlineStr">
        <is>
          <t>- Ứng tuyển tin đang mở thành công; chặn ứng tuyển trùng và khi chưa xác minh.
- Xem trạng thái đơn ứng tuyển.</t>
        </is>
      </c>
      <c r="D27" s="17" t="inlineStr">
        <is>
          <t>Chưa kiểm tra</t>
        </is>
      </c>
      <c r="E27" s="18" t="n"/>
    </row>
    <row r="28" ht="32" customHeight="1">
      <c r="A28" s="14" t="n">
        <v>19</v>
      </c>
      <c r="B28" s="15" t="inlineStr">
        <is>
          <t>Gia sư: Điểm danh vào/ra buổi học và điểm danh học sinh</t>
        </is>
      </c>
      <c r="C28" s="16" t="inlineStr">
        <is>
          <t>- Check-in đầu buổi, check-out cuối buổi được ghi nhận đúng thời gian.
- Điểm danh học sinh thuộc lớp; chặn nếu không phụ trách/học sinh không thuộc lớp/đã điểm danh.</t>
        </is>
      </c>
      <c r="D28" s="17" t="inlineStr">
        <is>
          <t>Chưa kiểm tra</t>
        </is>
      </c>
      <c r="E28" s="18" t="n"/>
    </row>
    <row r="29" ht="45" customHeight="1">
      <c r="A29" s="14" t="n">
        <v>20</v>
      </c>
      <c r="B29" s="15" t="inlineStr">
        <is>
          <t>Gia sư: Yêu cầu đổi lịch/thêm buổi và nhờ dạy thay</t>
        </is>
      </c>
      <c r="C29" s="16" t="inlineStr">
        <is>
          <t>- Gửi yêu cầu đổi lịch/thêm buổi hợp lệ và chờ duyệt.
- Nhờ dạy thay được duyệt và gán gia sư phụ cho buổi.
- Chặn ngày quá khứ/giờ không hợp lệ/đang có yêu cầu chờ.</t>
        </is>
      </c>
      <c r="D29" s="17" t="inlineStr">
        <is>
          <t>Chưa kiểm tra</t>
        </is>
      </c>
      <c r="E29" s="18" t="n"/>
    </row>
    <row r="30" ht="32" customHeight="1">
      <c r="A30" s="14" t="n">
        <v>21</v>
      </c>
      <c r="B30" s="15" t="inlineStr">
        <is>
          <t>Gia sư: Ký hợp đồng điện tử bằng OTP</t>
        </is>
      </c>
      <c r="C30" s="16" t="inlineStr">
        <is>
          <t>- Nhận OTP qua email và ký hợp đồng thành công.
- Người không phải bên liên quan không thể ký/xem hợp đồng.</t>
        </is>
      </c>
      <c r="D30" s="17" t="inlineStr">
        <is>
          <t>Chưa kiểm tra</t>
        </is>
      </c>
      <c r="E30" s="18" t="n"/>
    </row>
    <row r="31" ht="32" customHeight="1">
      <c r="A31" s="14" t="n">
        <v>22</v>
      </c>
      <c r="B31" s="15" t="inlineStr">
        <is>
          <t>Gia sư: Rút tiền từ ví sau khi được giải ngân</t>
        </is>
      </c>
      <c r="C31" s="16" t="inlineStr">
        <is>
          <t>- Tạo yêu cầu rút tiền (&gt;0) thành công; chặn khi vượt số dư khả dụng.
- Sau khi admin duyệt, số dư giảm đúng số tiền.</t>
        </is>
      </c>
      <c r="D31" s="17" t="inlineStr">
        <is>
          <t>Chưa kiểm tra</t>
        </is>
      </c>
      <c r="E31" s="18" t="n"/>
    </row>
    <row r="32" ht="32" customHeight="1">
      <c r="A32" s="14" t="n">
        <v>23</v>
      </c>
      <c r="B32" s="15" t="inlineStr">
        <is>
          <t>Gia sư: Phản hồi đánh giá của học viên</t>
        </is>
      </c>
      <c r="C32" s="16" t="inlineStr">
        <is>
          <t>- Phản hồi đánh giá dành cho chính mình.
- Chặn phản hồi đánh giá không phải của mình hoặc nội dung trống.</t>
        </is>
      </c>
      <c r="D32" s="17" t="inlineStr">
        <is>
          <t>Chưa kiểm tra</t>
        </is>
      </c>
      <c r="E32" s="18" t="n"/>
    </row>
    <row r="33" ht="32" customHeight="1">
      <c r="A33" s="14" t="n">
        <v>24</v>
      </c>
      <c r="B33" s="15" t="inlineStr">
        <is>
          <t>Trung tâm: Nộp hồ sơ xác minh trung tâm</t>
        </is>
      </c>
      <c r="C33" s="16" t="inlineStr">
        <is>
          <t>- Nộp hồ sơ xác minh (PENDING) và chờ admin duyệt.
- Sau khi được duyệt, mở khóa các chức năng của trung tâm.</t>
        </is>
      </c>
      <c r="D33" s="17" t="inlineStr">
        <is>
          <t>Chưa kiểm tra</t>
        </is>
      </c>
      <c r="E33" s="18" t="n"/>
    </row>
    <row r="34" ht="32" customHeight="1">
      <c r="A34" s="14" t="n">
        <v>25</v>
      </c>
      <c r="B34" s="15" t="inlineStr">
        <is>
          <t>Trung tâm: Đăng tin tuyển dụng → duyệt đơn ứng tuyển</t>
        </is>
      </c>
      <c r="C34" s="16" t="inlineStr">
        <is>
          <t>- Tạo tin (nháp) → đăng (OPEN) → đóng theo trạng thái hợp lệ.
- Duyệt/từ chối đơn ứng tuyển; đơn đã xử lý không xử lý lại.</t>
        </is>
      </c>
      <c r="D34" s="17" t="inlineStr">
        <is>
          <t>Chưa kiểm tra</t>
        </is>
      </c>
      <c r="E34" s="18" t="n"/>
    </row>
    <row r="35" ht="45" customHeight="1">
      <c r="A35" s="14" t="n">
        <v>26</v>
      </c>
      <c r="B35" s="15" t="inlineStr">
        <is>
          <t>Trung tâm: Tạo lớp → đăng → gán gia sư chính/phụ → mở/đóng tuyển sinh</t>
        </is>
      </c>
      <c r="C35" s="16" t="inlineStr">
        <is>
          <t>- Tạo lớp với dữ liệu hợp lệ (tiêu đề, học phí&gt;0, số HS&gt;0, ngày/khung lịch hợp lệ).
- Đăng lớp (chỉ từ nháp); gán gia sư (chặn khi trùng lịch/lớp không thể gán).
- Đóng ghi danh khi đang mở tuyển sinh.</t>
        </is>
      </c>
      <c r="D35" s="17" t="inlineStr">
        <is>
          <t>Chưa kiểm tra</t>
        </is>
      </c>
      <c r="E35" s="18" t="n"/>
    </row>
    <row r="36" ht="32" customHeight="1">
      <c r="A36" s="14" t="n">
        <v>27</v>
      </c>
      <c r="B36" s="15" t="inlineStr">
        <is>
          <t>Trung tâm: Quản lý thành viên gia sư (cập nhật trạng thái)</t>
        </is>
      </c>
      <c r="C36" s="16" t="inlineStr">
        <is>
          <t>- Cập nhật trạng thái thành viên gia sư thuộc trung tâm.
- Chặn khi thiếu trạng thái hoặc không có quyền với thành viên.</t>
        </is>
      </c>
      <c r="D36" s="17" t="inlineStr">
        <is>
          <t>Chưa kiểm tra</t>
        </is>
      </c>
      <c r="E36" s="18" t="n"/>
    </row>
    <row r="37" ht="32" customHeight="1">
      <c r="A37" s="14" t="n">
        <v>28</v>
      </c>
      <c r="B37" s="15" t="inlineStr">
        <is>
          <t>Trung tâm: Duyệt yêu cầu đổi lịch / dạy thay của gia sư</t>
        </is>
      </c>
      <c r="C37" s="16" t="inlineStr">
        <is>
          <t>- Xem và duyệt/từ chối yêu cầu đổi lịch, dạy thay.
- Sau khi duyệt, lịch/gia sư phụ được cập nhật đồng bộ; email thông báo gửi tới các bên liên quan.</t>
        </is>
      </c>
      <c r="D37" s="17" t="inlineStr">
        <is>
          <t>Chưa kiểm tra</t>
        </is>
      </c>
      <c r="E37" s="18" t="n"/>
    </row>
    <row r="38" ht="32" customHeight="1">
      <c r="A38" s="14" t="n">
        <v>29</v>
      </c>
      <c r="B38" s="15" t="inlineStr">
        <is>
          <t>Trung tâm: Xử lý yêu cầu mở lớp từ phụ huynh (chấp nhận/từ chối)</t>
        </is>
      </c>
      <c r="C38" s="16" t="inlineStr">
        <is>
          <t>- Xem danh sách yêu cầu đến; chấp nhận → tạo lớp; từ chối kèm lý do.
- Yêu cầu đã xử lý không xử lý lại; chỉ người có quyền mới xử lý.</t>
        </is>
      </c>
      <c r="D38" s="17" t="inlineStr">
        <is>
          <t>Chưa kiểm tra</t>
        </is>
      </c>
      <c r="E38" s="18" t="n"/>
    </row>
    <row r="39" ht="32" customHeight="1">
      <c r="A39" s="14" t="n">
        <v>30</v>
      </c>
      <c r="B39" s="15" t="inlineStr">
        <is>
          <t>Trung tâm: Điểm danh theo lịch trung tâm (đơn lẻ &amp; hàng loạt)</t>
        </is>
      </c>
      <c r="C39" s="16" t="inlineStr">
        <is>
          <t>- Điểm danh học sinh của buổi đúng ngày; điểm danh hàng loạt cả buổi.
- Chặn điểm danh lại buổi đã điểm danh và học sinh không thuộc lớp.</t>
        </is>
      </c>
      <c r="D39" s="17" t="inlineStr">
        <is>
          <t>Chưa kiểm tra</t>
        </is>
      </c>
      <c r="E39" s="18" t="n"/>
    </row>
    <row r="40" ht="45" customHeight="1">
      <c r="A40" s="14" t="n">
        <v>31</v>
      </c>
      <c r="B40" s="15" t="inlineStr">
        <is>
          <t>Admin: Quản lý tài khoản người dùng (khóa/mở, đổi trạng thái)</t>
        </is>
      </c>
      <c r="C40" s="16" t="inlineStr">
        <is>
          <t>- Xem danh sách người dùng và trạng thái.
- Khóa/mở tài khoản; người bị khóa không đăng nhập được.
- Chặn đổi trạng thái tài khoản quản trị viên và trạng thái không hợp lệ.</t>
        </is>
      </c>
      <c r="D40" s="17" t="inlineStr">
        <is>
          <t>Chưa kiểm tra</t>
        </is>
      </c>
      <c r="E40" s="18" t="n"/>
    </row>
    <row r="41" ht="32" customHeight="1">
      <c r="A41" s="14" t="n">
        <v>32</v>
      </c>
      <c r="B41" s="15" t="inlineStr">
        <is>
          <t>Admin: Duyệt/từ chối hồ sơ xác minh gia sư/trung tâm</t>
        </is>
      </c>
      <c r="C41" s="16" t="inlineStr">
        <is>
          <t>- Xem hàng chờ và chi tiết hồ sơ.
- Duyệt → đối tượng chuyển 'đã xác minh'; từ chối cần lý do ≥10 ký tự và gửi thông báo.</t>
        </is>
      </c>
      <c r="D41" s="17" t="inlineStr">
        <is>
          <t>Chưa kiểm tra</t>
        </is>
      </c>
      <c r="E41" s="18" t="n"/>
    </row>
    <row r="42" ht="32" customHeight="1">
      <c r="A42" s="14" t="n">
        <v>33</v>
      </c>
      <c r="B42" s="15" t="inlineStr">
        <is>
          <t>Admin: Xử lý tranh chấp (hoàn tiền một phần) và khiếu nại</t>
        </is>
      </c>
      <c r="C42" s="16" t="inlineStr">
        <is>
          <t>- Xử lý tranh chấp với quyết định + hoàn một phần (&gt;0); escrow settle đúng.
- Xử lý khiếu nại/mở lại theo đúng chủ thể.</t>
        </is>
      </c>
      <c r="D42" s="17" t="inlineStr">
        <is>
          <t>Chưa kiểm tra</t>
        </is>
      </c>
      <c r="E42" s="18" t="n"/>
    </row>
    <row r="43" ht="32" customHeight="1">
      <c r="A43" s="14" t="n">
        <v>34</v>
      </c>
      <c r="B43" s="15" t="inlineStr">
        <is>
          <t>Admin: Duyệt yêu cầu rút tiền</t>
        </is>
      </c>
      <c r="C43" s="16" t="inlineStr">
        <is>
          <t>- Duyệt yêu cầu rút đang chờ → APPROVED, số dư người dùng giảm đúng.
- Chặn duyệt yêu cầu không ở trạng thái chờ.</t>
        </is>
      </c>
      <c r="D43" s="17" t="inlineStr">
        <is>
          <t>Chưa kiểm tra</t>
        </is>
      </c>
      <c r="E43" s="18" t="n"/>
    </row>
    <row r="44" ht="32" customHeight="1">
      <c r="A44" s="14" t="n">
        <v>35</v>
      </c>
      <c r="B44" s="15" t="inlineStr">
        <is>
          <t>Admin: Xử lý báo cáo sự cố lớp → chuyển thành tranh chấp</t>
        </is>
      </c>
      <c r="C44" s="16" t="inlineStr">
        <is>
          <t>- Xử lý báo cáo sự cố lớp; chuyển thành tranh chấp từ escrow còn hiệu lực.
- Nếu nhiều escrow, yêu cầu chỉ định escrow cụ thể.</t>
        </is>
      </c>
      <c r="D44" s="17" t="inlineStr">
        <is>
          <t>Chưa kiểm tra</t>
        </is>
      </c>
      <c r="E44" s="18" t="n"/>
    </row>
    <row r="45" ht="32" customHeight="1">
      <c r="A45" s="14" t="n">
        <v>36</v>
      </c>
      <c r="B45" s="15" t="inlineStr">
        <is>
          <t>Admin: Quản lý ticket hỗ trợ (phản hồi, đóng)</t>
        </is>
      </c>
      <c r="C45" s="16" t="inlineStr">
        <is>
          <t>- Xem danh sách ticket; phản hồi (nội dung bắt buộc).
- Đóng ticket với trạng thái RESOLVED/CLOSED; user có thể mở lại.</t>
        </is>
      </c>
      <c r="D45" s="17" t="inlineStr">
        <is>
          <t>Chưa kiểm tra</t>
        </is>
      </c>
      <c r="E45" s="18" t="n"/>
    </row>
    <row r="46" ht="32" customHeight="1">
      <c r="A46" s="14" t="n">
        <v>37</v>
      </c>
      <c r="B46" s="15" t="inlineStr">
        <is>
          <t>Admin: Ra và thu hồi hình phạt người dùng</t>
        </is>
      </c>
      <c r="C46" s="16" t="inlineStr">
        <is>
          <t>- Ra hình phạt hợp lệ (loại/thời hạn); hình phạt ACTIVE.
- Thu hồi hình phạt đang hoạt động → REVOKED.</t>
        </is>
      </c>
      <c r="D46" s="17" t="inlineStr">
        <is>
          <t>Chưa kiểm tra</t>
        </is>
      </c>
      <c r="E46" s="18" t="n"/>
    </row>
    <row r="47" ht="30" customHeight="1">
      <c r="A47" s="14" t="n">
        <v>38</v>
      </c>
      <c r="B47" s="15" t="inlineStr">
        <is>
          <t>Admin: Kiểm duyệt đánh giá (ẩn/hiện nội dung vi phạm)</t>
        </is>
      </c>
      <c r="C47" s="16" t="inlineStr">
        <is>
          <t>- Xem và kiểm duyệt đánh giá; ẩn nội dung vi phạm khỏi hiển thị công khai.</t>
        </is>
      </c>
      <c r="D47" s="17" t="inlineStr">
        <is>
          <t>Chưa kiểm tra</t>
        </is>
      </c>
      <c r="E47" s="18" t="n"/>
    </row>
    <row r="48" ht="32" customHeight="1">
      <c r="A48" s="14" t="n">
        <v>39</v>
      </c>
      <c r="B48" s="15" t="inlineStr">
        <is>
          <t>Admin: Quản lý danh mục hệ thống (môn học/danh mục/FAQ/tham số)</t>
        </is>
      </c>
      <c r="C48" s="16" t="inlineStr">
        <is>
          <t>- Tạo/sửa/xóa danh mục, FAQ, tham số hệ thống theo ràng buộc.
- Chặn xóa danh mục còn danh mục con hoặc đang dùng cho lớp; chặn khóa tham số trùng.</t>
        </is>
      </c>
      <c r="D48" s="17" t="inlineStr">
        <is>
          <t>Chưa kiểm tra</t>
        </is>
      </c>
      <c r="E48" s="18" t="n"/>
    </row>
    <row r="49" ht="30" customHeight="1">
      <c r="A49" s="14" t="n">
        <v>40</v>
      </c>
      <c r="B49" s="15" t="inlineStr">
        <is>
          <t>Admin: Xem dashboard thống kê hệ thống</t>
        </is>
      </c>
      <c r="C49" s="16" t="inlineStr">
        <is>
          <t>- Dashboard hiển thị số liệu tổng quan (người dùng, lớp, giao dịch...) chính xác và cập nhật.</t>
        </is>
      </c>
      <c r="D49" s="17" t="inlineStr">
        <is>
          <t>Chưa kiểm tra</t>
        </is>
      </c>
      <c r="E49" s="18" t="n"/>
    </row>
    <row r="50" ht="157.5" customHeight="1">
      <c r="A50" s="14" t="n"/>
      <c r="B50" s="15" t="n"/>
      <c r="C50" s="16" t="n"/>
      <c r="D50" s="17" t="n"/>
      <c r="E50" s="23" t="n"/>
    </row>
    <row r="51" ht="94.5" customHeight="1">
      <c r="A51" s="14" t="n"/>
      <c r="B51" s="15" t="n"/>
      <c r="C51" s="20" t="n"/>
      <c r="D51" s="17" t="n"/>
      <c r="E51" s="23" t="n"/>
    </row>
    <row r="52" ht="189" customHeight="1">
      <c r="A52" s="14" t="n"/>
      <c r="B52" s="15" t="n"/>
      <c r="C52" s="16" t="n"/>
      <c r="D52" s="17" t="n"/>
      <c r="E52" s="23" t="n"/>
    </row>
  </sheetData>
  <mergeCells count="8">
    <mergeCell ref="A8:A9"/>
    <mergeCell ref="E8:E9"/>
    <mergeCell ref="C8:C9"/>
    <mergeCell ref="D1:E1"/>
    <mergeCell ref="D2:E3"/>
    <mergeCell ref="D8:D9"/>
    <mergeCell ref="B8:B9"/>
    <mergeCell ref="B2:B3"/>
  </mergeCells>
  <dataValidations count="2">
    <dataValidation sqref="D10:D52" showDropDown="0" showInputMessage="0" showErrorMessage="1" allowBlank="1" type="list">
      <formula1>"Chấp nhận,Từ chối,Chưa kiểm tra"</formula1>
    </dataValidation>
    <dataValidation sqref="D10 D11 D12 D13 D14 D15 D16 D17 D18 D19 D20 D21 D22 D23 D24 D25 D26 D27 D28 D29 D30 D31 D32 D33 D34 D35 D36 D37 D38 D39 D40 D41 D42 D43 D44 D45 D46 D47 D48 D49" showDropDown="0" showInputMessage="0" showErrorMessage="0" allowBlank="1" type="list">
      <formula1>$B$5:$E$5</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0" summaryRight="0"/>
    <pageSetUpPr/>
  </sheetPr>
  <dimension ref="A1:E37"/>
  <sheetViews>
    <sheetView tabSelected="1" topLeftCell="A6" workbookViewId="0">
      <selection activeCell="I20" sqref="I20"/>
    </sheetView>
  </sheetViews>
  <sheetFormatPr baseColWidth="8" defaultColWidth="12.5703125" defaultRowHeight="15.75" customHeight="1"/>
  <cols>
    <col width="11.42578125" customWidth="1" min="1" max="1"/>
    <col width="48.42578125" customWidth="1" min="2" max="2"/>
    <col width="29" customWidth="1" min="3" max="3"/>
    <col width="27.42578125" customWidth="1" min="4" max="4"/>
    <col width="25.7109375" customWidth="1" min="5" max="5"/>
  </cols>
  <sheetData>
    <row r="1">
      <c r="A1" s="32" t="inlineStr">
        <is>
          <t>Number of TCs</t>
        </is>
      </c>
      <c r="B1" s="33" t="inlineStr">
        <is>
          <t>Chấp nhận</t>
        </is>
      </c>
      <c r="C1" s="33" t="inlineStr">
        <is>
          <t>Từ chối</t>
        </is>
      </c>
      <c r="D1" s="33" t="inlineStr">
        <is>
          <t>Chưa kiểm tra</t>
        </is>
      </c>
      <c r="E1" s="34" t="inlineStr">
        <is>
          <t>N/A</t>
        </is>
      </c>
    </row>
    <row r="2">
      <c r="A2" s="1">
        <f>COUNTA(A6:A31)</f>
        <v/>
      </c>
      <c r="B2" s="2">
        <f>COUNTIF(E6:E31,B1)</f>
        <v/>
      </c>
      <c r="C2" s="2">
        <f>COUNTIF(E6:E31,C1)</f>
        <v/>
      </c>
      <c r="D2" s="2">
        <f>COUNTIF(E6:E31,D1)</f>
        <v/>
      </c>
      <c r="E2" s="3">
        <f>COUNTIF($F4:$F990,E1)</f>
        <v/>
      </c>
    </row>
    <row r="5">
      <c r="A5" s="4" t="inlineStr">
        <is>
          <t>ID</t>
        </is>
      </c>
      <c r="B5" s="4" t="inlineStr">
        <is>
          <t>Tiêu chí</t>
        </is>
      </c>
      <c r="C5" s="4" t="inlineStr">
        <is>
          <t>Cách kiểm tra trong UAT</t>
        </is>
      </c>
      <c r="D5" s="4" t="inlineStr">
        <is>
          <t>Ngưỡng chấp nhận</t>
        </is>
      </c>
      <c r="E5" s="4" t="inlineStr">
        <is>
          <t>Kết quả</t>
        </is>
      </c>
    </row>
    <row r="6" ht="20" customHeight="1">
      <c r="A6" s="5" t="n">
        <v>1</v>
      </c>
      <c r="B6" s="6" t="inlineStr">
        <is>
          <t>Giao diện trực quan, dễ sử dụng</t>
        </is>
      </c>
      <c r="C6" s="6" t="inlineStr">
        <is>
          <t>Khảo sát Likert 1–5 với người dùng UAT</t>
        </is>
      </c>
      <c r="D6" s="6" t="inlineStr">
        <is>
          <t>≥ 90% người dùng chấm ≥ 4/5</t>
        </is>
      </c>
      <c r="E6" s="5" t="inlineStr">
        <is>
          <t>Chưa kiểm tra</t>
        </is>
      </c>
    </row>
    <row r="7" ht="20" customHeight="1">
      <c r="A7" s="5" t="n">
        <v>2</v>
      </c>
      <c r="B7" s="6" t="inlineStr">
        <is>
          <t>Hoàn thành tác vụ cơ bản không cần hướng dẫn nhiều</t>
        </is>
      </c>
      <c r="C7" s="6" t="inlineStr">
        <is>
          <t>Quan sát + khảo sát</t>
        </is>
      </c>
      <c r="D7" s="6" t="inlineStr">
        <is>
          <t>≥ 90% không cần hỗ trợ trực tiếp</t>
        </is>
      </c>
      <c r="E7" s="5" t="inlineStr">
        <is>
          <t>Chưa kiểm tra</t>
        </is>
      </c>
    </row>
    <row r="8" ht="20" customHeight="1">
      <c r="A8" s="5" t="n">
        <v>3</v>
      </c>
      <c r="B8" s="6" t="inlineStr">
        <is>
          <t>Trải nghiệm tổng thể hài lòng</t>
        </is>
      </c>
      <c r="C8" s="6" t="inlineStr">
        <is>
          <t>Câu hỏi tổng hợp khảo sát</t>
        </is>
      </c>
      <c r="D8" s="6" t="inlineStr">
        <is>
          <t>Điểm hài lòng trung bình ≥ 4/5</t>
        </is>
      </c>
      <c r="E8" s="5" t="inlineStr">
        <is>
          <t>Chưa kiểm tra</t>
        </is>
      </c>
    </row>
    <row r="9" ht="20" customHeight="1">
      <c r="A9" s="5" t="n">
        <v>4</v>
      </c>
      <c r="B9" s="6" t="inlineStr">
        <is>
          <t>Responsive trên desktop &amp; mobile</t>
        </is>
      </c>
      <c r="C9" s="6" t="inlineStr">
        <is>
          <t>Kiểm thử trên nhiều kích thước màn hình</t>
        </is>
      </c>
      <c r="D9" s="6" t="inlineStr">
        <is>
          <t>Hiển thị đúng ở mọi breakpoint chính</t>
        </is>
      </c>
      <c r="E9" s="5" t="inlineStr">
        <is>
          <t>Chưa kiểm tra</t>
        </is>
      </c>
    </row>
    <row r="10" ht="20" customHeight="1">
      <c r="A10" s="5" t="n">
        <v>5</v>
      </c>
      <c r="B10" s="6" t="inlineStr">
        <is>
          <t>Thông báo lỗi/validation rõ ràng</t>
        </is>
      </c>
      <c r="C10" s="6" t="inlineStr">
        <is>
          <t>Bỏ trống field, nhập sai định dạng (email, số)</t>
        </is>
      </c>
      <c r="D10" s="6" t="inlineStr">
        <is>
          <t>Hiển thị lỗi ≤ 2 giây, nội dung dễ hiểu</t>
        </is>
      </c>
      <c r="E10" s="5" t="inlineStr">
        <is>
          <t>Chưa kiểm tra</t>
        </is>
      </c>
    </row>
    <row r="11" ht="20" customHeight="1">
      <c r="A11" s="5" t="n">
        <v>6</v>
      </c>
      <c r="B11" s="6" t="inlineStr">
        <is>
          <t>Hỗ trợ tiếng Việt đầy đủ, thuật ngữ nhất quán</t>
        </is>
      </c>
      <c r="C11" s="6" t="inlineStr">
        <is>
          <t>Rà soát toàn bộ UI</t>
        </is>
      </c>
      <c r="D11" s="6" t="inlineStr">
        <is>
          <t>Không lỗi font, không thuật ngữ mâu thuẫn</t>
        </is>
      </c>
      <c r="E11" s="5" t="inlineStr">
        <is>
          <t>Chưa kiểm tra</t>
        </is>
      </c>
    </row>
    <row r="12" ht="20" customHeight="1">
      <c r="A12" s="5" t="n">
        <v>7</v>
      </c>
      <c r="B12" s="6" t="inlineStr">
        <is>
          <t>Thời gian tải trang chủ</t>
        </is>
      </c>
      <c r="C12" s="6" t="inlineStr">
        <is>
          <t>Đo trên mạng phổ thông</t>
        </is>
      </c>
      <c r="D12" s="6" t="inlineStr">
        <is>
          <t>≤ 3 giây</t>
        </is>
      </c>
      <c r="E12" s="5" t="inlineStr">
        <is>
          <t>Chưa kiểm tra</t>
        </is>
      </c>
    </row>
    <row r="13" ht="20" customHeight="1">
      <c r="A13" s="5" t="n">
        <v>8</v>
      </c>
      <c r="B13" s="6" t="inlineStr">
        <is>
          <t>Độ trễ API đọc dữ liệu (P95)</t>
        </is>
      </c>
      <c r="C13" s="6" t="inlineStr">
        <is>
          <t>Báo cáo performance</t>
        </is>
      </c>
      <c r="D13" s="6" t="inlineStr">
        <is>
          <t>≤ 2 giây</t>
        </is>
      </c>
      <c r="E13" s="5" t="inlineStr">
        <is>
          <t>Chưa kiểm tra</t>
        </is>
      </c>
    </row>
    <row r="14" ht="20" customHeight="1">
      <c r="A14" s="5" t="n">
        <v>9</v>
      </c>
      <c r="B14" s="6" t="inlineStr">
        <is>
          <t>Tìm kiếm gia sư/lớp học</t>
        </is>
      </c>
      <c r="C14" s="6" t="inlineStr">
        <is>
          <t>Đo thời gian phản hồi</t>
        </is>
      </c>
      <c r="D14" s="6" t="inlineStr">
        <is>
          <t>≤ 2 giây</t>
        </is>
      </c>
      <c r="E14" s="5" t="inlineStr">
        <is>
          <t>Chưa kiểm tra</t>
        </is>
      </c>
    </row>
    <row r="15" ht="20" customHeight="1">
      <c r="A15" s="5" t="n">
        <v>10</v>
      </c>
      <c r="B15" s="6" t="inlineStr">
        <is>
          <t>Nạp/thanh toán phản hồi end-to-end</t>
        </is>
      </c>
      <c r="C15" s="6" t="inlineStr">
        <is>
          <t>Test end-to-end qua SePay</t>
        </is>
      </c>
      <c r="D15" s="6" t="inlineStr">
        <is>
          <t>≤ 5 giây</t>
        </is>
      </c>
      <c r="E15" s="5" t="inlineStr">
        <is>
          <t>Chưa kiểm tra</t>
        </is>
      </c>
    </row>
    <row r="16" ht="20" customHeight="1">
      <c r="A16" s="5" t="n">
        <v>11</v>
      </c>
      <c r="B16" s="6" t="inlineStr">
        <is>
          <t>Hỗ trợ người dùng đồng thời</t>
        </is>
      </c>
      <c r="C16" s="6" t="inlineStr">
        <is>
          <t>Load test</t>
        </is>
      </c>
      <c r="D16" s="6" t="inlineStr">
        <is>
          <t>≥ 500 người dùng đồng thời</t>
        </is>
      </c>
      <c r="E16" s="5" t="inlineStr">
        <is>
          <t>Chưa kiểm tra</t>
        </is>
      </c>
    </row>
    <row r="17" ht="20" customHeight="1">
      <c r="A17" s="5" t="n">
        <v>12</v>
      </c>
      <c r="B17" s="6" t="inlineStr">
        <is>
          <t>Tỷ lệ lỗi server (5xx)</t>
        </is>
      </c>
      <c r="C17" s="6" t="inlineStr">
        <is>
          <t>Log / báo cáo</t>
        </is>
      </c>
      <c r="D17" s="6" t="inlineStr">
        <is>
          <t>&lt; 0.5%</t>
        </is>
      </c>
      <c r="E17" s="5" t="inlineStr">
        <is>
          <t>Chưa kiểm tra</t>
        </is>
      </c>
    </row>
    <row r="18" ht="20" customHeight="1">
      <c r="A18" s="5" t="n">
        <v>13</v>
      </c>
      <c r="B18" s="6" t="inlineStr">
        <is>
          <t>Xử lý tác vụ nặng (email/thông báo) không chặn UI</t>
        </is>
      </c>
      <c r="C18" s="6" t="inlineStr">
        <is>
          <t>Review kiến trúc + quan sát</t>
        </is>
      </c>
      <c r="D18" s="6" t="inlineStr">
        <is>
          <t>Không block thao tác người dùng</t>
        </is>
      </c>
      <c r="E18" s="5" t="inlineStr">
        <is>
          <t>Chưa kiểm tra</t>
        </is>
      </c>
    </row>
    <row r="19" ht="20" customHeight="1">
      <c r="A19" s="5" t="n">
        <v>14</v>
      </c>
      <c r="B19" s="6" t="inlineStr">
        <is>
          <t>Toàn bộ dữ liệu truyền qua HTTPS</t>
        </is>
      </c>
      <c r="C19" s="6" t="inlineStr">
        <is>
          <t>Quan sát URL &amp; chứng chỉ</t>
        </is>
      </c>
      <c r="D19" s="6" t="inlineStr">
        <is>
          <t>100% HTTPS</t>
        </is>
      </c>
      <c r="E19" s="5" t="inlineStr">
        <is>
          <t>Chưa kiểm tra</t>
        </is>
      </c>
    </row>
    <row r="20" ht="20" customHeight="1">
      <c r="A20" s="5" t="n">
        <v>15</v>
      </c>
      <c r="B20" s="6" t="inlineStr">
        <is>
          <t>Mật khẩu được mã hóa (không lưu plaintext)</t>
        </is>
      </c>
      <c r="C20" s="6" t="inlineStr">
        <is>
          <t>Review kỹ thuật/DB</t>
        </is>
      </c>
      <c r="D20" s="6" t="inlineStr">
        <is>
          <t>Băm mật khẩu (BCrypt)</t>
        </is>
      </c>
      <c r="E20" s="5" t="inlineStr">
        <is>
          <t>Chưa kiểm tra</t>
        </is>
      </c>
    </row>
    <row r="21" ht="20" customHeight="1">
      <c r="A21" s="5" t="n">
        <v>16</v>
      </c>
      <c r="B21" s="6" t="inlineStr">
        <is>
          <t>Xác thực bằng JWT, API bảo vệ yêu cầu token</t>
        </is>
      </c>
      <c r="C21" s="6" t="inlineStr">
        <is>
          <t>Review token + test API</t>
        </is>
      </c>
      <c r="D21" s="6" t="inlineStr">
        <is>
          <t>Token có hạn; thiếu/hết hạn token bị chặn (401)</t>
        </is>
      </c>
      <c r="E21" s="5" t="inlineStr">
        <is>
          <t>Chưa kiểm tra</t>
        </is>
      </c>
    </row>
    <row r="22" ht="20" customHeight="1">
      <c r="A22" s="5" t="n">
        <v>17</v>
      </c>
      <c r="B22" s="6" t="inlineStr">
        <is>
          <t>Phân quyền RBAC đúng vai trò</t>
        </is>
      </c>
      <c r="C22" s="6" t="inlineStr">
        <is>
          <t>Test UI + API theo từng role</t>
        </is>
      </c>
      <c r="D22" s="6" t="inlineStr">
        <is>
          <t>100% đúng quyền; chặn truy cập chéo dữ liệu</t>
        </is>
      </c>
      <c r="E22" s="5" t="inlineStr">
        <is>
          <t>Chưa kiểm tra</t>
        </is>
      </c>
    </row>
    <row r="23" ht="20" customHeight="1">
      <c r="A23" s="5" t="n">
        <v>18</v>
      </c>
      <c r="B23" s="6" t="inlineStr">
        <is>
          <t>OTP ký hợp đồng an toàn</t>
        </is>
      </c>
      <c r="C23" s="6" t="inlineStr">
        <is>
          <t>Test ký hợp đồng</t>
        </is>
      </c>
      <c r="D23" s="6" t="inlineStr">
        <is>
          <t>Hết hạn theo quy định; giới hạn số lần thử</t>
        </is>
      </c>
      <c r="E23" s="5" t="inlineStr">
        <is>
          <t>Chưa kiểm tra</t>
        </is>
      </c>
    </row>
    <row r="24" ht="20" customHeight="1">
      <c r="A24" s="5" t="n">
        <v>19</v>
      </c>
      <c r="B24" s="6" t="inlineStr">
        <is>
          <t>Webhook thanh toán an toàn &amp; idempotent</t>
        </is>
      </c>
      <c r="C24" s="6" t="inlineStr">
        <is>
          <t>Test webhook lặp</t>
        </is>
      </c>
      <c r="D24" s="6" t="inlineStr">
        <is>
          <t>Không cộng tiền trùng</t>
        </is>
      </c>
      <c r="E24" s="5" t="inlineStr">
        <is>
          <t>Chưa kiểm tra</t>
        </is>
      </c>
    </row>
    <row r="25" ht="20" customHeight="1">
      <c r="A25" s="5" t="n">
        <v>20</v>
      </c>
      <c r="B25" s="6" t="inlineStr">
        <is>
          <t>Không lộ thông tin nhạy cảm trong response/log</t>
        </is>
      </c>
      <c r="C25" s="6" t="inlineStr">
        <is>
          <t>Kiểm tra response &amp; log</t>
        </is>
      </c>
      <c r="D25" s="6" t="inlineStr">
        <is>
          <t>Không lộ mật khẩu/token/secret</t>
        </is>
      </c>
      <c r="E25" s="5" t="inlineStr">
        <is>
          <t>Chưa kiểm tra</t>
        </is>
      </c>
    </row>
    <row r="26" ht="20" customHeight="1">
      <c r="A26" s="5" t="n">
        <v>21</v>
      </c>
      <c r="B26" s="6" t="inlineStr">
        <is>
          <t>Toàn vẹn giao dịch tài chính (ví/escrow)</t>
        </is>
      </c>
      <c r="C26" s="6" t="inlineStr">
        <is>
          <t>Test submit/payment, đối chiếu số dư</t>
        </is>
      </c>
      <c r="D26" s="6" t="inlineStr">
        <is>
          <t>Không mất/sai số dư; journal đầy đủ</t>
        </is>
      </c>
      <c r="E26" s="5" t="inlineStr">
        <is>
          <t>Chưa kiểm tra</t>
        </is>
      </c>
    </row>
    <row r="27" ht="20" customHeight="1">
      <c r="A27" s="5" t="n">
        <v>22</v>
      </c>
      <c r="B27" s="6" t="inlineStr">
        <is>
          <t>Khôi phục khi lỗi mạng lúc thanh toán</t>
        </is>
      </c>
      <c r="C27" s="6" t="inlineStr">
        <is>
          <t>Ngắt kết nối khi nạp tiền</t>
        </is>
      </c>
      <c r="D27" s="6" t="inlineStr">
        <is>
          <t>Không double charge; trạng thái nhất quán</t>
        </is>
      </c>
      <c r="E27" s="5" t="inlineStr">
        <is>
          <t>Chưa kiểm tra</t>
        </is>
      </c>
    </row>
    <row r="28" ht="20" customHeight="1">
      <c r="A28" s="5" t="n">
        <v>23</v>
      </c>
      <c r="B28" s="6" t="inlineStr">
        <is>
          <t>Sao lưu &amp; phục hồi dữ liệu</t>
        </is>
      </c>
      <c r="C28" s="6" t="inlineStr">
        <is>
          <t>Review kế hoạch backup</t>
        </is>
      </c>
      <c r="D28" s="6" t="inlineStr">
        <is>
          <t>Định kỳ; có thể khôi phục</t>
        </is>
      </c>
      <c r="E28" s="5" t="inlineStr">
        <is>
          <t>Chưa kiểm tra</t>
        </is>
      </c>
    </row>
    <row r="29" ht="20" customHeight="1">
      <c r="A29" s="5" t="n">
        <v>24</v>
      </c>
      <c r="B29" s="6" t="inlineStr">
        <is>
          <t>Tương thích trình duyệt phổ biến</t>
        </is>
      </c>
      <c r="C29" s="6" t="inlineStr">
        <is>
          <t>Chrome / Edge / Firefox bản mới</t>
        </is>
      </c>
      <c r="D29" s="6" t="inlineStr">
        <is>
          <t>Hoạt động đúng trên các trình duyệt</t>
        </is>
      </c>
      <c r="E29" s="5" t="inlineStr">
        <is>
          <t>Chưa kiểm tra</t>
        </is>
      </c>
    </row>
    <row r="30" ht="20" customHeight="1">
      <c r="A30" s="5" t="n">
        <v>25</v>
      </c>
      <c r="B30" s="6" t="inlineStr">
        <is>
          <t>Kết quả Unit/Integration/System Test</t>
        </is>
      </c>
      <c r="C30" s="6" t="inlineStr">
        <is>
          <t>Báo cáo test (5.1/5.2/5.3)</t>
        </is>
      </c>
      <c r="D30" s="6" t="inlineStr">
        <is>
          <t>≥ 90% Pass</t>
        </is>
      </c>
      <c r="E30" s="5" t="inlineStr">
        <is>
          <t>Chưa kiểm tra</t>
        </is>
      </c>
    </row>
    <row r="31" ht="20" customHeight="1">
      <c r="A31" s="5" t="n">
        <v>26</v>
      </c>
      <c r="B31" s="6" t="inlineStr">
        <is>
          <t>Ghi log/giám sát thao tác quan trọng</t>
        </is>
      </c>
      <c r="C31" s="6" t="inlineStr">
        <is>
          <t>Review audit log</t>
        </is>
      </c>
      <c r="D31" s="6" t="inlineStr">
        <is>
          <t>Có audit log cho hành động nhạy cảm</t>
        </is>
      </c>
      <c r="E31" s="5" t="inlineStr">
        <is>
          <t>Chưa kiểm tra</t>
        </is>
      </c>
    </row>
    <row r="32">
      <c r="A32" s="5" t="n"/>
      <c r="B32" s="7" t="n"/>
      <c r="C32" s="7" t="n"/>
      <c r="D32" s="7" t="n"/>
      <c r="E32" s="5" t="n"/>
    </row>
    <row r="33">
      <c r="A33" s="5" t="n"/>
      <c r="B33" s="7" t="n"/>
      <c r="C33" s="7" t="n"/>
      <c r="D33" s="7" t="n"/>
      <c r="E33" s="5" t="n"/>
    </row>
    <row r="34">
      <c r="A34" s="5" t="n"/>
      <c r="B34" s="7" t="n"/>
      <c r="C34" s="7" t="n"/>
      <c r="D34" s="7" t="n"/>
      <c r="E34" s="5" t="n"/>
    </row>
    <row r="35">
      <c r="A35" s="5" t="n"/>
      <c r="B35" s="7" t="n"/>
      <c r="C35" s="7" t="n"/>
      <c r="D35" s="7" t="n"/>
      <c r="E35" s="5" t="n"/>
    </row>
    <row r="36">
      <c r="A36" s="5" t="n"/>
      <c r="B36" s="7" t="n"/>
      <c r="C36" s="7" t="n"/>
      <c r="D36" s="7" t="n"/>
      <c r="E36" s="5" t="n"/>
    </row>
    <row r="37">
      <c r="A37" s="5" t="n"/>
      <c r="B37" s="7" t="n"/>
      <c r="C37" s="7" t="n"/>
      <c r="D37" s="7" t="n"/>
      <c r="E37" s="5" t="n"/>
    </row>
  </sheetData>
  <dataValidations count="2">
    <dataValidation sqref="E6:E37" showDropDown="0" showInputMessage="0" showErrorMessage="1" allowBlank="1" type="list">
      <formula1>"Chưa kiểm tra,Chấp nhận,Từ chối"</formula1>
    </dataValidation>
    <dataValidation sqref="E6 E7 E8 E9 E10 E11 E12 E13 E14 E15 E16 E17 E18 E19 E20 E21 E22 E23 E24 E25 E26 E27 E28 E29 E30 E31" showDropDown="0" showInputMessage="0" showErrorMessage="0" allowBlank="1" type="list">
      <formula1>$B$1:$E$1</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20" customWidth="1" min="2" max="2"/>
  </cols>
  <sheetData>
    <row r="1">
      <c r="A1" t="inlineStr">
        <is>
          <t>Date</t>
        </is>
      </c>
      <c r="B1" t="inlineStr">
        <is>
          <t>12/08/2026</t>
        </is>
      </c>
    </row>
    <row r="2">
      <c r="A2" t="inlineStr">
        <is>
          <t>Purpose</t>
        </is>
      </c>
      <c r="B2" t="inlineStr">
        <is>
          <t>Document-code consistency notes for the current repository baseline.</t>
        </is>
      </c>
    </row>
    <row r="3">
      <c r="A3" t="inlineStr">
        <is>
          <t>Implemented stack</t>
        </is>
      </c>
      <c r="B3" t="inlineStr">
        <is>
          <t>Java 21, Spring Boot 4.0.6, React 19.2.6, TypeScript 6.0.2, Vite 8.0.12, MySQL 8, Flyway V26, STOMP.</t>
        </is>
      </c>
    </row>
    <row r="4">
      <c r="A4" t="inlineStr">
        <is>
          <t>Data model baseline</t>
        </is>
      </c>
      <c r="B4" t="inlineStr">
        <is>
          <t>79 active JPA entities; Report 3 conceptual entities are core aggregates only.</t>
        </is>
      </c>
    </row>
    <row r="5">
      <c r="A5" t="inlineStr">
        <is>
          <t>Security implemented</t>
        </is>
      </c>
      <c r="B5" t="inlineStr">
        <is>
          <t>BCrypt, JWT tokenVersion logout, private file access, magic-byte validation, conversation participant authorization.</t>
        </is>
      </c>
    </row>
    <row r="6">
      <c r="A6" t="inlineStr">
        <is>
          <t>Security gaps</t>
        </is>
      </c>
      <c r="B6" t="inlineStr">
        <is>
          <t>Failed-login lockout, idle timeout, webhook API-key/signature validation, generic API/AI rate limiting, production WebSocket origin restriction.</t>
        </is>
      </c>
    </row>
    <row r="7">
      <c r="A7" t="inlineStr">
        <is>
          <t>Testing implication</t>
        </is>
      </c>
      <c r="B7" t="inlineStr">
        <is>
          <t>Test documents must not mark unimplemented security gaps as passing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2026-08-08T06:56:29Z</dcterms:created>
  <dcterms:modified xmlns:dcterms="http://purl.org/dc/terms/" xmlns:xsi="http://www.w3.org/2001/XMLSchema-instance" xsi:type="dcterms:W3CDTF">2026-08-12T10:04:10Z</dcterms:modified>
  <cp:lastModifiedBy>Administrator</cp:lastModifiedBy>
</cp:coreProperties>
</file>